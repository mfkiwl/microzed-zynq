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4.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vbaProject.bin" ContentType="application/vnd.ms-office.vbaProject"/>
  <Override PartName="/xl/worksheets/sheet1.xml" ContentType="application/vnd.openxmlformats-officedocument.spreadsheetml.worksheet+xml"/>
  <Override PartName="/xl/drawings/drawing1.xml" ContentType="application/vnd.openxmlformats-officedocument.drawing+xml"/>
  <Override PartName="/xl/styles.xml" ContentType="application/vnd.openxmlformats-officedocument.spreadsheetml.styles+xml"/>
  <Override PartName="/xl/theme/theme1.xml" ContentType="application/vnd.openxmlformats-officedocument.theme+xml"/>
  <Override PartName="/xl/worksheets/sheet12.xml" ContentType="application/vnd.openxmlformats-officedocument.spreadsheetml.worksheet+xml"/>
  <Override PartName="/xl/worksheets/sheet11.xml" ContentType="application/vnd.openxmlformats-officedocument.spreadsheetml.worksheet+xml"/>
  <Override PartName="/xl/worksheets/sheet10.xml" ContentType="application/vnd.openxmlformats-officedocument.spreadsheetml.worksheet+xml"/>
  <Override PartName="/xl/worksheets/sheet9.xml" ContentType="application/vnd.openxmlformats-officedocument.spreadsheetml.worksheet+xml"/>
  <Override PartName="/xl/worksheets/sheet8.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sharedStrings.xml" ContentType="application/vnd.openxmlformats-officedocument.spreadsheetml.sharedStrings+xml"/>
  <Override PartName="/docProps/custom.xml" ContentType="application/vnd.openxmlformats-officedocument.custom-properties+xml"/>
  <Override PartName="/xl/ctrlProps/ctrlProp1.xml" ContentType="application/vnd.ms-excel.controlproperties+xml"/>
  <Override PartName="/docProps/app.xml" ContentType="application/vnd.openxmlformats-officedocument.extended-properties+xml"/>
  <Override PartName="/docProps/core.xml" ContentType="application/vnd.openxmlformats-package.core-properties+xml"/>
  <Override PartName="/xl/calcChain.xml" ContentType="application/vnd.openxmlformats-officedocument.spreadsheetml.calcChain+xml"/>
  <Override PartName="/customXml/itemProps2.xml" ContentType="application/vnd.openxmlformats-officedocument.customXmlProperties+xml"/>
  <Override PartName="/customXml/itemProps1.xml" ContentType="application/vnd.openxmlformats-officedocument.customXmlProperties+xml"/>
  <Override PartName="/customXml/itemProps3.xml" ContentType="application/vnd.openxmlformats-officedocument.customXml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denist\Embedded\Docs\Zynq-7000\"/>
    </mc:Choice>
  </mc:AlternateContent>
  <bookViews>
    <workbookView xWindow="0" yWindow="225" windowWidth="15120" windowHeight="7410" firstSheet="2" activeTab="2"/>
  </bookViews>
  <sheets>
    <sheet name="Lists" sheetId="4" state="hidden" r:id="rId1"/>
    <sheet name="Revision" sheetId="15" r:id="rId2"/>
    <sheet name="README" sheetId="12" r:id="rId3"/>
    <sheet name="Usage Information" sheetId="13" r:id="rId4"/>
    <sheet name="Detailed Information" sheetId="14" r:id="rId5"/>
    <sheet name="BootROM" sheetId="10" r:id="rId6"/>
    <sheet name="NAND" sheetId="6" r:id="rId7"/>
    <sheet name="NAND_secure" sheetId="16" r:id="rId8"/>
    <sheet name="QSPI" sheetId="9" r:id="rId9"/>
    <sheet name="QSPI_secure" sheetId="17" r:id="rId10"/>
    <sheet name="UserInput" sheetId="5" r:id="rId11"/>
    <sheet name="Results" sheetId="7" r:id="rId12"/>
  </sheets>
  <definedNames>
    <definedName name="Boot_Device">Lists!$A$7:$A$8</definedName>
    <definedName name="Boot_type">Lists!$A$2:$A$3</definedName>
    <definedName name="BootROM">Lists!$C$25:$C$26</definedName>
    <definedName name="CRC_Enabled">Lists!$C$17:$C$18</definedName>
    <definedName name="NAND">Lists!$B$7:$B$8</definedName>
    <definedName name="NonSecure">Lists!$C$2:$C$3</definedName>
    <definedName name="OS">Lists!$A$12:$A$13</definedName>
    <definedName name="pl_power">Lists!$C$21:$C$22</definedName>
    <definedName name="QSPI">Lists!$C$7:$C$9</definedName>
    <definedName name="QSPI_type">Lists!$D$7:$D$8</definedName>
    <definedName name="Secure">Lists!$B$2:$B$3</definedName>
    <definedName name="Vendors">Lists!$A$16:$A$17</definedName>
    <definedName name="voltage">Lists!$C$12:$C$13</definedName>
    <definedName name="zynq_devices">Lists!$A$20:$A$25</definedName>
  </definedNames>
  <calcPr calcId="152511"/>
</workbook>
</file>

<file path=xl/calcChain.xml><?xml version="1.0" encoding="utf-8"?>
<calcChain xmlns="http://schemas.openxmlformats.org/spreadsheetml/2006/main">
  <c r="E31" i="17" l="1"/>
  <c r="E32" i="17"/>
  <c r="E33" i="17"/>
  <c r="E34" i="17"/>
  <c r="E35" i="17"/>
  <c r="E36" i="17"/>
  <c r="E37" i="17"/>
  <c r="E38" i="17"/>
  <c r="E39" i="17"/>
  <c r="I16" i="5" l="1"/>
  <c r="D15" i="16" l="1"/>
  <c r="D14" i="16"/>
  <c r="D13" i="16"/>
  <c r="E15" i="6"/>
  <c r="E14" i="6"/>
  <c r="E13" i="6"/>
  <c r="E36" i="9"/>
  <c r="E35" i="9"/>
  <c r="E34" i="9"/>
  <c r="E33" i="9"/>
  <c r="E32" i="9"/>
  <c r="E31" i="9"/>
  <c r="E30" i="9"/>
  <c r="E29" i="9"/>
  <c r="E28" i="9"/>
  <c r="I15" i="5"/>
  <c r="I20" i="5"/>
  <c r="I19" i="5"/>
  <c r="I18" i="5"/>
  <c r="I17" i="5"/>
</calcChain>
</file>

<file path=xl/sharedStrings.xml><?xml version="1.0" encoding="utf-8"?>
<sst xmlns="http://schemas.openxmlformats.org/spreadsheetml/2006/main" count="597" uniqueCount="287">
  <si>
    <t>Z7010</t>
  </si>
  <si>
    <t>Z7020</t>
  </si>
  <si>
    <t>Z7030</t>
  </si>
  <si>
    <t>Z7045</t>
  </si>
  <si>
    <t>Secure</t>
  </si>
  <si>
    <t>Boot Device</t>
  </si>
  <si>
    <t>NAND</t>
  </si>
  <si>
    <t>QSPI</t>
  </si>
  <si>
    <t>Boot Type</t>
  </si>
  <si>
    <t>Linux</t>
  </si>
  <si>
    <t>x8</t>
  </si>
  <si>
    <t>x16</t>
  </si>
  <si>
    <t>Single</t>
  </si>
  <si>
    <t>OS</t>
  </si>
  <si>
    <t>Vendors</t>
  </si>
  <si>
    <t>Micron</t>
  </si>
  <si>
    <t>Spansion</t>
  </si>
  <si>
    <t>Zynq Devices</t>
  </si>
  <si>
    <t>Application (Code) Size</t>
  </si>
  <si>
    <t>Bitstream Size</t>
  </si>
  <si>
    <t>Zynq Device</t>
  </si>
  <si>
    <t>Vendor</t>
  </si>
  <si>
    <t>Flash Device</t>
  </si>
  <si>
    <t>Spansion 8 bit (S34ML04G1)</t>
  </si>
  <si>
    <t>Remarks</t>
  </si>
  <si>
    <t>Operation</t>
  </si>
  <si>
    <t>Read(MB/s)</t>
  </si>
  <si>
    <t>Write(MB/s)</t>
  </si>
  <si>
    <t>Standalone</t>
  </si>
  <si>
    <t>Linux with mtd_speed</t>
  </si>
  <si>
    <t>Linux with UBIFS</t>
  </si>
  <si>
    <t>Linux with JFFS2</t>
  </si>
  <si>
    <t>Configuration</t>
  </si>
  <si>
    <t xml:space="preserve">Configuration </t>
  </si>
  <si>
    <t>Parallel</t>
  </si>
  <si>
    <t>Stacked</t>
  </si>
  <si>
    <t>QSPI CLK Frequency  MHz</t>
  </si>
  <si>
    <t>Micron Single</t>
  </si>
  <si>
    <t>Micron Dual Parallel</t>
  </si>
  <si>
    <t xml:space="preserve">Spansion Dual Parallel </t>
  </si>
  <si>
    <t>CLK frequency (MHz)</t>
  </si>
  <si>
    <t>Spansion Dual Parallel</t>
  </si>
  <si>
    <t>Core Frequency</t>
  </si>
  <si>
    <t>800 MHz</t>
  </si>
  <si>
    <t>DDR</t>
  </si>
  <si>
    <t>533 MHz</t>
  </si>
  <si>
    <t>QSPI Reference clock</t>
  </si>
  <si>
    <t>200 MHz</t>
  </si>
  <si>
    <t>Boards used</t>
  </si>
  <si>
    <t>ZC702 and ZC706</t>
  </si>
  <si>
    <t>PL330 DMA controller Frequency</t>
  </si>
  <si>
    <t>400 MHz</t>
  </si>
  <si>
    <t>Data Cache and Instruction  cache</t>
  </si>
  <si>
    <t>Enabled</t>
  </si>
  <si>
    <t>Flash devices</t>
  </si>
  <si>
    <t>Micron and Spansion</t>
  </si>
  <si>
    <t>Linux version</t>
  </si>
  <si>
    <t>3.5.0-14.3</t>
  </si>
  <si>
    <t>SDK tool</t>
  </si>
  <si>
    <t>Linux tools</t>
  </si>
  <si>
    <t>mtd_speedtest</t>
  </si>
  <si>
    <t>Part Number</t>
  </si>
  <si>
    <t xml:space="preserve">N25Q128  </t>
  </si>
  <si>
    <t>100 MHz</t>
  </si>
  <si>
    <t xml:space="preserve">S25FL256S </t>
  </si>
  <si>
    <t>Compiler Optimization</t>
  </si>
  <si>
    <t>CPU freq</t>
  </si>
  <si>
    <t>800 Mhz</t>
  </si>
  <si>
    <t>2 *  800 Mhz (SMP)</t>
  </si>
  <si>
    <t>DDR3 @ 533MHZ</t>
  </si>
  <si>
    <t>SMC</t>
  </si>
  <si>
    <t>100 MHZ</t>
  </si>
  <si>
    <t>100MHZ</t>
  </si>
  <si>
    <t>Cache</t>
  </si>
  <si>
    <t>Data and Instruction Caches are enabled</t>
  </si>
  <si>
    <t>Version</t>
  </si>
  <si>
    <t>SDK 14.3</t>
  </si>
  <si>
    <t>3.5.0-14.3-build2</t>
  </si>
  <si>
    <t>S34ML04G1 - spansion 8 bit
MT29F2G08A - micron 8 bit
MT29F2G16A - micron 16 bit</t>
  </si>
  <si>
    <t xml:space="preserve">S34ML04G1 - spansion 8 bit
MT29F2G08A - micron 8 bit
MT29F2G16A - micron 16 bit
</t>
  </si>
  <si>
    <t>Compiler</t>
  </si>
  <si>
    <t>gcc version 4.5.2 (Sourcery CodeBench Lite 2011.07-56</t>
  </si>
  <si>
    <t>gcc version 4.5.2 (Sourcery CodeBench Lite 2011.07-57</t>
  </si>
  <si>
    <t>Compiler Options</t>
  </si>
  <si>
    <t xml:space="preserve"> -Wall -O0 -g3 -c -fmessage-length=0</t>
  </si>
  <si>
    <t>SMC Timing Parameters</t>
  </si>
  <si>
    <t>tRc - 30ns, tWc - 30ns, tRea - 10ns
tClr - 20ns, tRR - 20ns</t>
  </si>
  <si>
    <t>Configuration:</t>
  </si>
  <si>
    <t>BootROM</t>
  </si>
  <si>
    <t>Default</t>
  </si>
  <si>
    <t>Optimized</t>
  </si>
  <si>
    <t>Supported Max. Frequency</t>
  </si>
  <si>
    <t>Bootmode</t>
  </si>
  <si>
    <t>Non-Secure Default (ms)</t>
  </si>
  <si>
    <t>Secure Default (ms)</t>
  </si>
  <si>
    <t>Secure Reg Init (ms)</t>
  </si>
  <si>
    <t>QSPI(Dual)</t>
  </si>
  <si>
    <t>NAND x8</t>
  </si>
  <si>
    <t>NAND x16</t>
  </si>
  <si>
    <t>Non-Secure Reg-Init (ms)</t>
  </si>
  <si>
    <t>Default Size</t>
  </si>
  <si>
    <t>Custom Size</t>
  </si>
  <si>
    <t>Linux Kernel</t>
  </si>
  <si>
    <t>RAM Disk</t>
  </si>
  <si>
    <t>Device Tree</t>
  </si>
  <si>
    <t>Uboot</t>
  </si>
  <si>
    <t>Mb</t>
  </si>
  <si>
    <t>MB</t>
  </si>
  <si>
    <t>Bare_Metal</t>
  </si>
  <si>
    <t>PL Power</t>
  </si>
  <si>
    <t>Yes</t>
  </si>
  <si>
    <t>No</t>
  </si>
  <si>
    <t>AES</t>
  </si>
  <si>
    <t>RSA</t>
  </si>
  <si>
    <t>RSA &amp; AES</t>
  </si>
  <si>
    <t>Authentication Type</t>
  </si>
  <si>
    <t>None</t>
  </si>
  <si>
    <t>NonSecure</t>
  </si>
  <si>
    <t>FSBL</t>
  </si>
  <si>
    <t>Spansion Single</t>
  </si>
  <si>
    <t>Micron Dual Stacked</t>
  </si>
  <si>
    <t>Spansion Dual Stacked</t>
  </si>
  <si>
    <t>100MHz @ 3.3v &amp; 66MHz @ 1.8v</t>
  </si>
  <si>
    <t>1.8v</t>
  </si>
  <si>
    <t>VCC 3.6v and VIO 1.8v</t>
  </si>
  <si>
    <t>VCC 3.6v and VIO 3.0v</t>
  </si>
  <si>
    <t>Voltage</t>
  </si>
  <si>
    <t>1.8v &amp; 3.3v</t>
  </si>
  <si>
    <t>3.3v</t>
  </si>
  <si>
    <t>voltage</t>
  </si>
  <si>
    <t>Bare Metal Linear Mode:</t>
  </si>
  <si>
    <t>Bare Metal I/O Mode:</t>
  </si>
  <si>
    <t>Compressed Size</t>
  </si>
  <si>
    <t>Z7100</t>
  </si>
  <si>
    <t>Information about Tabs:</t>
  </si>
  <si>
    <t>README</t>
  </si>
  <si>
    <t xml:space="preserve">MUST READ, contains disclamier about the usage and accuracy of the data in the spreadsheet. </t>
  </si>
  <si>
    <t>Usage Information</t>
  </si>
  <si>
    <t xml:space="preserve">Contains bandwdith numbers for non-secure mode for different vendors and interface sizes. This tab also contains a configuration tables which specifies the conditions under which the bandwidth numbers were measured. </t>
  </si>
  <si>
    <t>QPSI</t>
  </si>
  <si>
    <t>UserInput</t>
  </si>
  <si>
    <t>This tab lets users choose different options that affect the boot times. These should be chosen based on the csutomer use-case.</t>
  </si>
  <si>
    <t>Results</t>
  </si>
  <si>
    <t xml:space="preserve">Once appropriate options on the UserInput tab are chosen, and "RUN" button is clicked, it displays results for the chosen configuration on the results tab. </t>
  </si>
  <si>
    <t>Following are the main options that need to be filled out: (This table can be copied and pasted in an e-mail and sent to the customer to get input on their particular use-case)</t>
  </si>
  <si>
    <t>Mode</t>
  </si>
  <si>
    <t>Option</t>
  </si>
  <si>
    <t>Comments</t>
  </si>
  <si>
    <t>Secure/Non-secure</t>
  </si>
  <si>
    <t>Z-7010/Z-7020/Z-7030/Z-7045/Z-7100</t>
  </si>
  <si>
    <t>Bare Metal/Linux</t>
  </si>
  <si>
    <t>Size of application code</t>
  </si>
  <si>
    <t xml:space="preserve">Size of Linux Kernel, RAM Disk, Device Tree and Uboot </t>
  </si>
  <si>
    <t>Micron/Spansion</t>
  </si>
  <si>
    <t>NAND/QSPI</t>
  </si>
  <si>
    <t>Device Configuration</t>
  </si>
  <si>
    <t>NAND: x8/x16</t>
  </si>
  <si>
    <t>1.8v/3.3v</t>
  </si>
  <si>
    <t>Authentication</t>
  </si>
  <si>
    <t>None/AES/RSA/AES+RSA</t>
  </si>
  <si>
    <t>Non-Secure: None/RSA</t>
  </si>
  <si>
    <t>Secure: AES/RSA/AES+RSA</t>
  </si>
  <si>
    <t>Whether customer is using secure boot or non-secure boot</t>
  </si>
  <si>
    <t xml:space="preserve">Which device is being used? </t>
  </si>
  <si>
    <t xml:space="preserve">If customer is using compressed bitstream, get the size of the bitstream. If custom size is not provided then defualt bitstream size will be used. </t>
  </si>
  <si>
    <t xml:space="preserve">If size of application code and Linux partition is known then get that from the customer and override the default sizes. Otherwise defualt sizes from UserInput tab will be used. </t>
  </si>
  <si>
    <t>Vendor being used</t>
  </si>
  <si>
    <t>Type of device being used</t>
  </si>
  <si>
    <t>QSPI: Single or Dual Stacked or Dual Parallel</t>
  </si>
  <si>
    <t>Voltage of the device</t>
  </si>
  <si>
    <t>Contains information about the spreadsheet.</t>
  </si>
  <si>
    <t xml:space="preserve">This tab contains usage information and some important notes. </t>
  </si>
  <si>
    <t xml:space="preserve">Voltage: </t>
  </si>
  <si>
    <t>Important Notes:</t>
  </si>
  <si>
    <t xml:space="preserve">Voltage option only affects the boot times for Spansion Quad-SPI devices. 1.8v QSPI from Spansion run upto 66MHz and 3.3v option runs up to 100MHz. The bandwidth numbers for all NAND and Micron Quad-SPI devices is the same for 1.8v and 3.3v. </t>
  </si>
  <si>
    <t xml:space="preserve">RSA Authetication: </t>
  </si>
  <si>
    <t>FSBL Size:</t>
  </si>
  <si>
    <t>Ref Clock:</t>
  </si>
  <si>
    <t>All numbers are based on 33MHz Ref clock</t>
  </si>
  <si>
    <t>128KB CRC for BootROM:</t>
  </si>
  <si>
    <t xml:space="preserve">55ms is added to BootROM time for RSA authetication when default BootROM settings are used. This assumes that at 33MHz Ref clock, defualt CPU dividor value of 4 is being used so the CPU frequency is 215MHz. </t>
  </si>
  <si>
    <t xml:space="preserve">28ms is added to the BootROM time for RSA authetication when optimized BootROM settings are used. This assumes that at 33MHz Ref clock, CPU divider value has been adjusted to 2, thus increasing to CPU speed to 433MHz. </t>
  </si>
  <si>
    <t>What does BootROM time include:</t>
  </si>
  <si>
    <t xml:space="preserve">Please  note that this spreadsheet is a boot time estimator, meaning the based on input parameters it provides a rough estimate about the boot times. Proper expectations need to be set with the customers before providing the estimated boot times. </t>
  </si>
  <si>
    <t>CRC Enabled</t>
  </si>
  <si>
    <t>128KB BootROM CRC</t>
  </si>
  <si>
    <t xml:space="preserve">NOTE: In order to use this spreadsheet you have to enable macros. </t>
  </si>
  <si>
    <t>TPoR for PL</t>
  </si>
  <si>
    <t>The TPoR is voltage ramp for the Programmable Logic. It can be up to 50ms. In non-scure boot mode, even if the PL is powered on, BootROM doesn't wait for the TPoR of the Programmable Logic. If the rest of the boot image</t>
  </si>
  <si>
    <t xml:space="preserve">is loaded before 50ms then in order to load the bitstream user has to wait for PL to be ready. Spreadsheet takes this into account for Bare Metal case when using QSPI. For Linux since customer can load Linux first so the </t>
  </si>
  <si>
    <t xml:space="preserve">spreadsheet doesn't take it into account. It has to be dealt on per customer use-case. For NAND, since the optimized BootROM time is around 50ms , so this scenerio doesn't occur. </t>
  </si>
  <si>
    <t xml:space="preserve">Custom image and bitstream sizes can be entered right next to the default numbers. If a custom size in entered then it is used in calculations, otherwise default size is used. Linux image is specified as </t>
  </si>
  <si>
    <t>Bare Metal</t>
  </si>
  <si>
    <t xml:space="preserve">BootROM time starts from when the PoR is deasserted and ends when FSBL is copied to OCM and control is handed over to the FSBL. </t>
  </si>
  <si>
    <t>So this includes PLL lock time, boot code execution time, PL clean time and time to copy FSBL to OCM. It doesn't include power ramp time.</t>
  </si>
  <si>
    <t>Micron 8 bit (MT29F2G08A)</t>
  </si>
  <si>
    <t>Micron 16 bit (MT29F2G16A)</t>
  </si>
  <si>
    <r>
      <rPr>
        <b/>
        <sz val="11"/>
        <color theme="1"/>
        <rFont val="Calibri"/>
        <family val="2"/>
        <scheme val="minor"/>
      </rPr>
      <t xml:space="preserve">Linux Boot Time: </t>
    </r>
    <r>
      <rPr>
        <sz val="11"/>
        <color theme="1"/>
        <rFont val="Calibri"/>
        <family val="2"/>
        <scheme val="minor"/>
      </rPr>
      <t>Time from start kernel to shell prompt</t>
    </r>
  </si>
  <si>
    <r>
      <rPr>
        <b/>
        <sz val="11"/>
        <color theme="1"/>
        <rFont val="Calibri"/>
        <family val="2"/>
        <scheme val="minor"/>
      </rPr>
      <t xml:space="preserve">Linux Image Load Time: </t>
    </r>
    <r>
      <rPr>
        <sz val="11"/>
        <color theme="1"/>
        <rFont val="Calibri"/>
        <family val="2"/>
        <scheme val="minor"/>
      </rPr>
      <t>Time to load Linux Image (ulmage + Device Tree + RAM Disk) from NAND flash to DDR</t>
    </r>
  </si>
  <si>
    <t>Linux Image Load Time (sec)</t>
  </si>
  <si>
    <t>Uboot Time (sec)</t>
  </si>
  <si>
    <t>Linux Boot Time (sec)</t>
  </si>
  <si>
    <t xml:space="preserve">Secure times for BootROM include AES/SHA decryption and authetication time for 128KB of FSBL. If only RSA or RSA and AES option is chosen then BootROM time increases based on the RSA values mentioned </t>
  </si>
  <si>
    <t>below; spreadsheet calculates the time based on appropriate option</t>
  </si>
  <si>
    <t>26ms is added to the BootROM time if 128KB CRC check for BootROM is enabled. This is based on 33MHz Ref clock with default dividor value of 4 for CPU so CPU is runnign at 215MHz.</t>
  </si>
  <si>
    <t xml:space="preserve">The timing numbers will vary for other FSBL sizes. Make sure thisis pointed out to the customers.  </t>
  </si>
  <si>
    <t xml:space="preserve">a collection of smaller indiviual images like uImage (Linux Image), Device tree, RAM Disk etc, so user can csutomize each of thes epartitions indiviually. </t>
  </si>
  <si>
    <t>How to change Image/Bitstream Sizes?</t>
  </si>
  <si>
    <t xml:space="preserve">Contains BootROM times for secure and non-secure modes. </t>
  </si>
  <si>
    <t>BootROM CRC</t>
  </si>
  <si>
    <t>Enable 128KB CRC check on BootROM</t>
  </si>
  <si>
    <t>O2</t>
  </si>
  <si>
    <r>
      <rPr>
        <b/>
        <sz val="11"/>
        <color theme="1"/>
        <rFont val="Calibri"/>
        <family val="2"/>
        <scheme val="minor"/>
      </rPr>
      <t>Uboot Time:</t>
    </r>
    <r>
      <rPr>
        <sz val="11"/>
        <color theme="1"/>
        <rFont val="Calibri"/>
        <family val="2"/>
        <scheme val="minor"/>
      </rPr>
      <t xml:space="preserve"> Uboot_init + Time to copy Linux image from DDR and starting kernel</t>
    </r>
  </si>
  <si>
    <r>
      <rPr>
        <b/>
        <sz val="11"/>
        <color theme="1"/>
        <rFont val="Calibri"/>
        <family val="2"/>
        <scheme val="minor"/>
      </rPr>
      <t>Total Linux Time:</t>
    </r>
    <r>
      <rPr>
        <sz val="11"/>
        <color theme="1"/>
        <rFont val="Calibri"/>
        <family val="2"/>
        <scheme val="minor"/>
      </rPr>
      <t xml:space="preserve"> Time from when uboot starts loading Linux image from Flash to DDR till shell prompt</t>
    </r>
  </si>
  <si>
    <t>Total Linux Time (sec)</t>
  </si>
  <si>
    <r>
      <rPr>
        <b/>
        <sz val="11"/>
        <color theme="1"/>
        <rFont val="Calibri"/>
        <family val="2"/>
        <scheme val="minor"/>
      </rPr>
      <t>Uboot Time:</t>
    </r>
    <r>
      <rPr>
        <sz val="11"/>
        <color theme="1"/>
        <rFont val="Calibri"/>
        <family val="2"/>
        <scheme val="minor"/>
      </rPr>
      <t xml:space="preserve"> Uboot_init + Time to copy Linux image from DDR to start kernel</t>
    </r>
  </si>
  <si>
    <t>Uboot Information</t>
  </si>
  <si>
    <t xml:space="preserve">Uboot tables in NAND and QSPI show following information. Only Linux load image time is used by the spreadsheet to calculate boot times. The other two are provided for the default Linux image </t>
  </si>
  <si>
    <r>
      <t>Uboot Time</t>
    </r>
    <r>
      <rPr>
        <b/>
        <vertAlign val="superscript"/>
        <sz val="11"/>
        <color theme="1"/>
        <rFont val="Calibri"/>
        <family val="2"/>
        <scheme val="minor"/>
      </rPr>
      <t>1</t>
    </r>
    <r>
      <rPr>
        <b/>
        <sz val="11"/>
        <color theme="1"/>
        <rFont val="Calibri"/>
        <family val="2"/>
        <scheme val="minor"/>
      </rPr>
      <t xml:space="preserve"> (sec)</t>
    </r>
  </si>
  <si>
    <t>1. The variation in Uboot time is because different boards were used for these measurements</t>
  </si>
  <si>
    <t xml:space="preserve">2. Linux Boot time varies because the times were calculated with DHCP and not Static IP. DHCP column has been added to indicate how much time is spent in DHCP. This time varies based on the number of peripherals on the board </t>
  </si>
  <si>
    <t xml:space="preserve">(see User Input tab for the sizes). This is meant to give user an idea on how much time it takes to get the Linux prompt with these default images. </t>
  </si>
  <si>
    <t>The boot times displayed on "Results" tab in the spreadsheet include following:</t>
  </si>
  <si>
    <t xml:space="preserve">NAND Tab: </t>
  </si>
  <si>
    <r>
      <t xml:space="preserve">Following bandwidth numbers are </t>
    </r>
    <r>
      <rPr>
        <u/>
        <sz val="11"/>
        <color theme="1"/>
        <rFont val="Calibri"/>
        <family val="2"/>
        <scheme val="minor"/>
      </rPr>
      <t>not used</t>
    </r>
    <r>
      <rPr>
        <sz val="11"/>
        <color theme="1"/>
        <rFont val="Calibri"/>
        <family val="2"/>
        <scheme val="minor"/>
      </rPr>
      <t xml:space="preserve"> in calculating boot times.</t>
    </r>
  </si>
  <si>
    <t>1. Bandwidth numbers for Linux Drivers</t>
  </si>
  <si>
    <t>2. Write bandwidth numbers for Linux and Bare Metal Drivers</t>
  </si>
  <si>
    <t>QSPI Tab:</t>
  </si>
  <si>
    <t xml:space="preserve">1. BootROM time </t>
  </si>
  <si>
    <t xml:space="preserve">2. Time to copy rest of the boot images like Uboot, Linux Image, application code (in case of Bare Metal Only) and PL bitstream from flash memory to DDR. In this spreadsheet PL image is always loaded before the Linux image is loaded. </t>
  </si>
  <si>
    <t>Revision History</t>
  </si>
  <si>
    <t>This revision estimates boot times when QSPI or NAND flash are used in non-secure mode</t>
  </si>
  <si>
    <t>If customer is using compressed bitstream they can specify the bitstream size of the respective device under "Compressed Size" column</t>
  </si>
  <si>
    <t xml:space="preserve">Size of the Linux partitions can be specified under the "Custom Size" column. Provides users granularity to specify custom sizes for application code, Linux Kernel, RAM Disk, Device Tree and Uboot. </t>
  </si>
  <si>
    <r>
      <t>FSBL size is fixed at 128KB. Custom size</t>
    </r>
    <r>
      <rPr>
        <u/>
        <sz val="11"/>
        <color theme="1"/>
        <rFont val="Calibri"/>
        <family val="2"/>
        <scheme val="minor"/>
      </rPr>
      <t xml:space="preserve"> </t>
    </r>
    <r>
      <rPr>
        <sz val="11"/>
        <color theme="1"/>
        <rFont val="Calibri"/>
        <family val="2"/>
        <scheme val="minor"/>
      </rPr>
      <t xml:space="preserve">for FSBL </t>
    </r>
    <r>
      <rPr>
        <u/>
        <sz val="11"/>
        <color theme="1"/>
        <rFont val="Calibri"/>
        <family val="2"/>
        <scheme val="minor"/>
      </rPr>
      <t>can't</t>
    </r>
    <r>
      <rPr>
        <sz val="11"/>
        <color theme="1"/>
        <rFont val="Calibri"/>
        <family val="2"/>
        <scheme val="minor"/>
      </rPr>
      <t xml:space="preserve"> be specified</t>
    </r>
  </si>
  <si>
    <t>READ ( Using CPU)(MB/s)
Quad_IO</t>
  </si>
  <si>
    <t>READ ( Using DevCFG DMA for loading PL Bitstream)(MB/s)
Quad_IO</t>
  </si>
  <si>
    <t>Using CPU</t>
  </si>
  <si>
    <t>Numbers are with Hw ECC
1 MB = 1000 * 1000 Bytes</t>
  </si>
  <si>
    <t>Numbers are with Hw ECC and Page Cache Enabled
1 MB = 1000 * 1000 Bytes</t>
  </si>
  <si>
    <t>These numbers are with file contains random data  of size 1MB and buffer size 128KB Number with on-die ECC. If on-die ECC is used page caching can't be enabled
1 MB = 1000* 1000 Bytes</t>
  </si>
  <si>
    <t>DDR Bandwidth (MB/s)</t>
  </si>
  <si>
    <t xml:space="preserve">DevCfg DMA copies image from DDR to DevCfg to autheticate and decrypt the image and copies it back to DDR </t>
  </si>
  <si>
    <t>Linux Time - loading from DDR to Linux prompt (sec)</t>
  </si>
  <si>
    <r>
      <t xml:space="preserve">Linux Image Load Time: </t>
    </r>
    <r>
      <rPr>
        <sz val="11"/>
        <color theme="1"/>
        <rFont val="Calibri"/>
        <family val="2"/>
        <scheme val="minor"/>
      </rPr>
      <t xml:space="preserve">Xilinx Uboot doesn't support secure boot, so Linux image can't be loaded and decrypted by Uboot. This is done by FSBL, so raw bandwdith numbers are used to calculate the time to load the Linux image. </t>
    </r>
  </si>
  <si>
    <t xml:space="preserve">BootROM numbers are based on 128KB FSBL. User can't change FSBL size in this spreadsheet. It is listed on the UserInput tab to show that all BootROM numbers are based on 128KB FSBL. </t>
  </si>
  <si>
    <t>Loading Linux Image for secure versus non-secure boot</t>
  </si>
  <si>
    <t>In non-secure boot mode, Linux image load time from the uboot times table is chosen. For secure boot, since Xilinx uboot doesn't support secure boot and doesn't have the ability to load and</t>
  </si>
  <si>
    <t xml:space="preserve">decrypt the Linux image so FSBL is used to load the Linux image. For this the raw bandwdith numbers from the respective table are used. </t>
  </si>
  <si>
    <t>Why doesn't NAND_secure and QSPI_secure tabs show the Linux Load Time in the uboo table?</t>
  </si>
  <si>
    <t xml:space="preserve">For secure boot these numbers are not used. See above. </t>
  </si>
  <si>
    <t>READ ( Using DevCfg DMA to load images other than PL bitstream)(MB/s)
Quad_IO</t>
  </si>
  <si>
    <t xml:space="preserve">This spreadsheet contains both secure and non-secure boot times for NAND and QSPI flash memories. </t>
  </si>
  <si>
    <t xml:space="preserve">This spreadsheet currently only has boot time estimates for  NAND and &lt;128Mb QSPI . Once &gt;128Mb QSPI devices are available their boot time estimates will be added to the spreadsheet. </t>
  </si>
  <si>
    <t>Read (Using CPU)(MB/s)
Quad_IO</t>
  </si>
  <si>
    <t>QSPI_type</t>
  </si>
  <si>
    <t>&lt;128Mb</t>
  </si>
  <si>
    <t>&gt;128Mb</t>
  </si>
  <si>
    <t>This revision estimates boot times when QSPI or NAND flash are used in non-secureand secure mode</t>
  </si>
  <si>
    <t xml:space="preserve">An issue with secure boot estimates for loading PL Bitstream when using QSPI was fixed.  </t>
  </si>
  <si>
    <t>QSPI Type</t>
  </si>
  <si>
    <t>U-Boot:</t>
  </si>
  <si>
    <t>DevCfg DMA copies image from DDR to DevCfg to autheticate and decrypt the image and copies it back to DDR. This is only used for &gt;128Mb QSPI devices as they use IO mode instead of Linear mode</t>
  </si>
  <si>
    <t>BootROM Settings</t>
  </si>
  <si>
    <t>&gt;128MB QSPI</t>
  </si>
  <si>
    <t>Separate option for &gt;128Mb QSPI devices was added as linear mode is not supported for these devices. IO Mode bandwidth numbers are used to calculate the time it takes to transfer image from QSPI flash memory to DDR</t>
  </si>
  <si>
    <t>Fixed the Tpor issue in calculation.</t>
  </si>
  <si>
    <t>Added &gt;128Mb QSPI flash devices</t>
  </si>
  <si>
    <t xml:space="preserve">Aligned the Bare Metal calculations with FSBL. PL Bitstream loads after bootROM and then applciation code is loaded. </t>
  </si>
  <si>
    <t>Z7015</t>
  </si>
  <si>
    <t>Added 7015</t>
  </si>
  <si>
    <t>Size (MB)</t>
  </si>
  <si>
    <t>Estimated Times (ms)</t>
  </si>
  <si>
    <t>Boot ROM Time</t>
  </si>
  <si>
    <t>Total Time</t>
  </si>
  <si>
    <t>Note: The total time indicated above only includes the time to load the images from flash memory to DDR. It doesn't include time to get Linux up and running.</t>
  </si>
  <si>
    <t xml:space="preserve">Added a note in secure boot results tab that it only shows time to load the images and not the time till user gets the Linux prompt. </t>
  </si>
  <si>
    <t>Linux Image Copy Time (sec)</t>
  </si>
  <si>
    <r>
      <rPr>
        <b/>
        <sz val="11"/>
        <color theme="1"/>
        <rFont val="Calibri"/>
        <family val="2"/>
        <scheme val="minor"/>
      </rPr>
      <t xml:space="preserve">Linux Image Copy Time: </t>
    </r>
    <r>
      <rPr>
        <sz val="11"/>
        <color theme="1"/>
        <rFont val="Calibri"/>
        <family val="2"/>
        <scheme val="minor"/>
      </rPr>
      <t>Time to load Linux Image (ulmage + Device Tree + RAM Disk) from QSPI flash to DDR</t>
    </r>
  </si>
  <si>
    <r>
      <t xml:space="preserve">Linux Image Copy Time: </t>
    </r>
    <r>
      <rPr>
        <sz val="11"/>
        <color theme="1"/>
        <rFont val="Calibri"/>
        <family val="2"/>
        <scheme val="minor"/>
      </rPr>
      <t>Time to load Linux Image (ulmage + Device Tree + RAM Disk) from QSPI flash to DDR</t>
    </r>
  </si>
  <si>
    <t>Updated Linux and IO mode times for QSPI</t>
  </si>
  <si>
    <t>Micron QSPI Stacked@3.3v - Quad IO Mode (NonSecure)</t>
  </si>
  <si>
    <t>Linux - NonSecure</t>
  </si>
  <si>
    <t>Time to Load PL Bitstream</t>
  </si>
  <si>
    <t>Time to Copy Uboot to DDR</t>
  </si>
  <si>
    <t>Time to Copy Linux Image to DDR</t>
  </si>
  <si>
    <t>This spreadsheet is intended to provide an estimate for boot times for Zynq-7000 devices. The intent is to provide a rough guestimate about boot times. This spreadsheet currently only has boot time estimates for  NAND and QSPI .</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</si>
</sst>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409]d\-mmm\-yy;@"/>
  </numFmts>
  <fonts count="21" x14ac:knownFonts="1">
    <font>
      <sz val="11"/>
      <color theme="1"/>
      <name val="Calibri"/>
      <family val="2"/>
      <scheme val="minor"/>
    </font>
    <font>
      <sz val="11"/>
      <color rgb="FF000000"/>
      <name val="Calibri"/>
      <family val="2"/>
      <scheme val="minor"/>
    </font>
    <font>
      <b/>
      <sz val="11"/>
      <color theme="1"/>
      <name val="Calibri"/>
      <family val="2"/>
      <scheme val="minor"/>
    </font>
    <font>
      <sz val="11"/>
      <color rgb="FF000000"/>
      <name val="Calibri"/>
      <family val="2"/>
    </font>
    <font>
      <b/>
      <sz val="14"/>
      <color theme="1"/>
      <name val="Calibri"/>
      <family val="2"/>
      <scheme val="minor"/>
    </font>
    <font>
      <b/>
      <sz val="11"/>
      <color rgb="FF000000"/>
      <name val="Calibri"/>
      <family val="2"/>
    </font>
    <font>
      <b/>
      <sz val="14"/>
      <color rgb="FF000000"/>
      <name val="Calibri"/>
      <family val="2"/>
    </font>
    <font>
      <b/>
      <sz val="18"/>
      <color theme="1"/>
      <name val="Calibri"/>
      <family val="2"/>
      <scheme val="minor"/>
    </font>
    <font>
      <sz val="11"/>
      <name val="Calibri"/>
      <family val="2"/>
      <scheme val="minor"/>
    </font>
    <font>
      <b/>
      <sz val="12"/>
      <name val="Calibri"/>
      <family val="2"/>
      <scheme val="minor"/>
    </font>
    <font>
      <b/>
      <sz val="12"/>
      <color theme="1"/>
      <name val="Calibri"/>
      <family val="2"/>
      <scheme val="minor"/>
    </font>
    <font>
      <sz val="11"/>
      <color theme="1"/>
      <name val="Calibri"/>
      <family val="2"/>
      <scheme val="minor"/>
    </font>
    <font>
      <sz val="12"/>
      <color theme="1"/>
      <name val="Calibri"/>
      <family val="2"/>
      <scheme val="minor"/>
    </font>
    <font>
      <b/>
      <vertAlign val="superscript"/>
      <sz val="11"/>
      <color theme="1"/>
      <name val="Calibri"/>
      <family val="2"/>
      <scheme val="minor"/>
    </font>
    <font>
      <u/>
      <sz val="11"/>
      <color theme="1"/>
      <name val="Calibri"/>
      <family val="2"/>
      <scheme val="minor"/>
    </font>
    <font>
      <b/>
      <i/>
      <sz val="12"/>
      <color theme="1"/>
      <name val="Calibri"/>
      <family val="2"/>
      <scheme val="minor"/>
    </font>
    <font>
      <sz val="11"/>
      <color rgb="FFFF0000"/>
      <name val="Calibri"/>
      <family val="2"/>
      <scheme val="minor"/>
    </font>
    <font>
      <sz val="11"/>
      <name val="Calibri"/>
      <family val="2"/>
    </font>
    <font>
      <sz val="11"/>
      <color theme="5" tint="-0.249977111117893"/>
      <name val="Calibri"/>
      <family val="2"/>
      <scheme val="minor"/>
    </font>
    <font>
      <sz val="11"/>
      <color theme="3"/>
      <name val="Calibri"/>
      <family val="2"/>
      <scheme val="minor"/>
    </font>
    <font>
      <sz val="11"/>
      <color theme="3"/>
      <name val="Calibri"/>
      <family val="2"/>
    </font>
  </fonts>
  <fills count="2">
    <fill>
      <patternFill patternType="none"/>
    </fill>
    <fill>
      <patternFill patternType="gray125"/>
    </fill>
  </fills>
  <borders count="15">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right style="medium">
        <color indexed="64"/>
      </right>
      <top style="medium">
        <color indexed="64"/>
      </top>
      <bottom style="medium">
        <color indexed="64"/>
      </bottom>
      <diagonal/>
    </border>
    <border>
      <left/>
      <right style="medium">
        <color indexed="64"/>
      </right>
      <top/>
      <bottom style="medium">
        <color indexed="64"/>
      </bottom>
      <diagonal/>
    </border>
    <border>
      <left/>
      <right/>
      <top/>
      <bottom style="thin">
        <color indexed="64"/>
      </bottom>
      <diagonal/>
    </border>
    <border>
      <left style="medium">
        <color indexed="64"/>
      </left>
      <right style="medium">
        <color indexed="64"/>
      </right>
      <top/>
      <bottom/>
      <diagonal/>
    </border>
    <border>
      <left/>
      <right style="medium">
        <color indexed="64"/>
      </right>
      <top/>
      <bottom/>
      <diagonal/>
    </border>
    <border>
      <left style="medium">
        <color indexed="64"/>
      </left>
      <right style="medium">
        <color indexed="64"/>
      </right>
      <top style="medium">
        <color indexed="64"/>
      </top>
      <bottom/>
      <diagonal/>
    </border>
    <border>
      <left style="medium">
        <color indexed="64"/>
      </left>
      <right style="medium">
        <color indexed="64"/>
      </right>
      <top style="medium">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1">
    <xf numFmtId="0" fontId="0" fillId="0" borderId="0"/>
  </cellStyleXfs>
  <cellXfs count="121">
    <xf numFmtId="0" fontId="0" fillId="0" borderId="0" xfId="0"/>
    <xf numFmtId="0" fontId="0" fillId="0" borderId="1" xfId="0" applyBorder="1" applyAlignment="1">
      <alignment vertical="top" wrapText="1"/>
    </xf>
    <xf numFmtId="0" fontId="0" fillId="0" borderId="1" xfId="0" applyBorder="1" applyAlignment="1">
      <alignment horizontal="center" vertical="top"/>
    </xf>
    <xf numFmtId="0" fontId="0" fillId="0" borderId="0" xfId="0" applyAlignment="1">
      <alignment vertical="top"/>
    </xf>
    <xf numFmtId="0" fontId="0" fillId="0" borderId="1" xfId="0" applyBorder="1" applyAlignment="1">
      <alignment horizontal="center" vertical="top" wrapText="1"/>
    </xf>
    <xf numFmtId="0" fontId="3" fillId="0" borderId="1" xfId="0" applyFont="1" applyBorder="1" applyAlignment="1">
      <alignment horizontal="center" vertical="top" wrapText="1"/>
    </xf>
    <xf numFmtId="0" fontId="4" fillId="0" borderId="0" xfId="0" applyFont="1"/>
    <xf numFmtId="0" fontId="3" fillId="0" borderId="1" xfId="0" applyFont="1" applyBorder="1" applyAlignment="1">
      <alignment horizontal="center" vertical="top"/>
    </xf>
    <xf numFmtId="0" fontId="5" fillId="0" borderId="1" xfId="0" applyFont="1" applyBorder="1" applyAlignment="1">
      <alignment horizontal="center" vertical="top"/>
    </xf>
    <xf numFmtId="0" fontId="6" fillId="0" borderId="1" xfId="0" applyFont="1" applyBorder="1" applyAlignment="1">
      <alignment horizontal="center" vertical="top"/>
    </xf>
    <xf numFmtId="0" fontId="7" fillId="0" borderId="0" xfId="0" applyFont="1"/>
    <xf numFmtId="0" fontId="1" fillId="0" borderId="1" xfId="0" applyFont="1" applyBorder="1" applyAlignment="1">
      <alignment horizontal="center" vertical="top" wrapText="1"/>
    </xf>
    <xf numFmtId="0" fontId="2" fillId="0" borderId="1" xfId="0" applyFont="1" applyFill="1" applyBorder="1" applyAlignment="1">
      <alignment horizontal="center" vertical="top" wrapText="1"/>
    </xf>
    <xf numFmtId="0" fontId="3" fillId="0" borderId="1" xfId="0" applyFont="1" applyBorder="1" applyAlignment="1">
      <alignment horizontal="center" vertical="top" wrapText="1"/>
    </xf>
    <xf numFmtId="0" fontId="9" fillId="0" borderId="4" xfId="0" applyFont="1" applyBorder="1" applyAlignment="1">
      <alignment horizontal="center" vertical="top" wrapText="1"/>
    </xf>
    <xf numFmtId="0" fontId="9" fillId="0" borderId="6" xfId="0" applyFont="1" applyBorder="1" applyAlignment="1">
      <alignment horizontal="center" vertical="top" wrapText="1"/>
    </xf>
    <xf numFmtId="0" fontId="8" fillId="0" borderId="7" xfId="0" applyFont="1" applyBorder="1" applyAlignment="1">
      <alignment horizontal="center" vertical="top" wrapText="1"/>
    </xf>
    <xf numFmtId="0" fontId="9" fillId="0" borderId="5" xfId="0" applyFont="1" applyBorder="1" applyAlignment="1">
      <alignment horizontal="center" vertical="top" wrapText="1"/>
    </xf>
    <xf numFmtId="0" fontId="2" fillId="0" borderId="0" xfId="0" applyFont="1" applyBorder="1" applyAlignment="1">
      <alignment horizontal="center" vertical="top"/>
    </xf>
    <xf numFmtId="0" fontId="3" fillId="0" borderId="1" xfId="0" applyFont="1" applyFill="1" applyBorder="1" applyAlignment="1">
      <alignment horizontal="center" vertical="top" wrapText="1"/>
    </xf>
    <xf numFmtId="0" fontId="0" fillId="0" borderId="0" xfId="0" applyAlignment="1" applyProtection="1">
      <alignment horizontal="center" vertical="top"/>
      <protection locked="0"/>
    </xf>
    <xf numFmtId="0" fontId="0" fillId="0" borderId="0" xfId="0" applyFont="1" applyAlignment="1" applyProtection="1">
      <alignment horizontal="center" vertical="top"/>
      <protection locked="0"/>
    </xf>
    <xf numFmtId="0" fontId="0" fillId="0" borderId="0" xfId="0" applyAlignment="1" applyProtection="1">
      <alignment horizontal="center" vertical="top"/>
    </xf>
    <xf numFmtId="0" fontId="2" fillId="0" borderId="0" xfId="0" applyFont="1" applyAlignment="1" applyProtection="1">
      <alignment horizontal="center" vertical="top"/>
      <protection locked="0"/>
    </xf>
    <xf numFmtId="0" fontId="0" fillId="0" borderId="0" xfId="0" applyAlignment="1" applyProtection="1">
      <alignment vertical="top"/>
      <protection locked="0"/>
    </xf>
    <xf numFmtId="0" fontId="0" fillId="0" borderId="0" xfId="0" applyProtection="1">
      <protection locked="0"/>
    </xf>
    <xf numFmtId="0" fontId="0" fillId="0" borderId="0" xfId="0" applyFont="1" applyBorder="1" applyAlignment="1" applyProtection="1">
      <alignment horizontal="center" vertical="top"/>
      <protection locked="0"/>
    </xf>
    <xf numFmtId="0" fontId="0" fillId="0" borderId="0" xfId="0" applyBorder="1" applyAlignment="1" applyProtection="1">
      <alignment horizontal="center" vertical="top"/>
      <protection locked="0"/>
    </xf>
    <xf numFmtId="0" fontId="0" fillId="0" borderId="0" xfId="0" applyFont="1" applyFill="1" applyAlignment="1" applyProtection="1">
      <alignment horizontal="right" vertical="top"/>
      <protection locked="0"/>
    </xf>
    <xf numFmtId="0" fontId="0" fillId="0" borderId="0" xfId="0" applyNumberFormat="1" applyProtection="1">
      <protection locked="0"/>
    </xf>
    <xf numFmtId="0" fontId="0" fillId="0" borderId="7" xfId="0" applyBorder="1" applyAlignment="1">
      <alignment horizontal="justify" vertical="top" wrapText="1"/>
    </xf>
    <xf numFmtId="0" fontId="11" fillId="0" borderId="7" xfId="0" applyFont="1" applyBorder="1" applyAlignment="1">
      <alignment horizontal="justify" vertical="top" wrapText="1"/>
    </xf>
    <xf numFmtId="0" fontId="12" fillId="0" borderId="7" xfId="0" applyFont="1" applyBorder="1" applyAlignment="1">
      <alignment horizontal="justify" vertical="top" wrapText="1"/>
    </xf>
    <xf numFmtId="0" fontId="11" fillId="0" borderId="10" xfId="0" applyFont="1" applyBorder="1" applyAlignment="1">
      <alignment horizontal="justify" vertical="top" wrapText="1"/>
    </xf>
    <xf numFmtId="0" fontId="12" fillId="0" borderId="10" xfId="0" applyFont="1" applyBorder="1" applyAlignment="1">
      <alignment horizontal="justify" vertical="top" wrapText="1"/>
    </xf>
    <xf numFmtId="0" fontId="4" fillId="0" borderId="4" xfId="0" applyFont="1" applyBorder="1" applyAlignment="1">
      <alignment horizontal="center" vertical="top" wrapText="1"/>
    </xf>
    <xf numFmtId="0" fontId="2" fillId="0" borderId="5" xfId="0" applyFont="1" applyBorder="1" applyAlignment="1">
      <alignment horizontal="center" vertical="top" wrapText="1"/>
    </xf>
    <xf numFmtId="0" fontId="4" fillId="0" borderId="6" xfId="0" applyFont="1" applyBorder="1" applyAlignment="1">
      <alignment horizontal="center" vertical="top" wrapText="1"/>
    </xf>
    <xf numFmtId="0" fontId="12" fillId="0" borderId="12" xfId="0" applyFont="1" applyBorder="1" applyAlignment="1">
      <alignment horizontal="justify" vertical="top" wrapText="1"/>
    </xf>
    <xf numFmtId="0" fontId="0" fillId="0" borderId="11" xfId="0" applyBorder="1" applyAlignment="1">
      <alignment horizontal="justify" vertical="top" wrapText="1"/>
    </xf>
    <xf numFmtId="0" fontId="0" fillId="0" borderId="0" xfId="0" applyProtection="1"/>
    <xf numFmtId="0" fontId="0" fillId="0" borderId="0" xfId="0" applyFont="1" applyAlignment="1" applyProtection="1">
      <alignment horizontal="center" vertical="top"/>
    </xf>
    <xf numFmtId="0" fontId="0" fillId="0" borderId="0" xfId="0" applyFont="1" applyFill="1" applyAlignment="1" applyProtection="1">
      <alignment horizontal="center" vertical="top"/>
    </xf>
    <xf numFmtId="0" fontId="5" fillId="0" borderId="1" xfId="0" applyFont="1" applyBorder="1" applyAlignment="1">
      <alignment horizontal="center" vertical="top" wrapText="1"/>
    </xf>
    <xf numFmtId="0" fontId="2" fillId="0" borderId="1" xfId="0" applyFont="1" applyBorder="1" applyAlignment="1">
      <alignment horizontal="center" vertical="top"/>
    </xf>
    <xf numFmtId="0" fontId="0" fillId="0" borderId="0" xfId="0" applyAlignment="1">
      <alignment horizontal="center" vertical="top"/>
    </xf>
    <xf numFmtId="0" fontId="4" fillId="0" borderId="0" xfId="0" applyFont="1" applyAlignment="1">
      <alignment horizontal="left" vertical="top"/>
    </xf>
    <xf numFmtId="0" fontId="4" fillId="0" borderId="0" xfId="0" applyFont="1" applyAlignment="1">
      <alignment horizontal="left"/>
    </xf>
    <xf numFmtId="0" fontId="2" fillId="0" borderId="1" xfId="0" applyFont="1" applyBorder="1" applyAlignment="1">
      <alignment horizontal="center" vertical="top" wrapText="1"/>
    </xf>
    <xf numFmtId="0" fontId="2" fillId="0" borderId="0" xfId="0" applyFont="1" applyAlignment="1" applyProtection="1">
      <alignment horizontal="center" vertical="top"/>
    </xf>
    <xf numFmtId="0" fontId="2" fillId="0" borderId="0" xfId="0" applyFont="1" applyBorder="1" applyAlignment="1" applyProtection="1">
      <alignment horizontal="center" vertical="top"/>
      <protection locked="0"/>
    </xf>
    <xf numFmtId="0" fontId="2" fillId="0" borderId="5" xfId="0" applyFont="1" applyBorder="1" applyAlignment="1">
      <alignment horizontal="center" vertical="top" wrapText="1"/>
    </xf>
    <xf numFmtId="0" fontId="6" fillId="0" borderId="0" xfId="0" applyFont="1" applyFill="1" applyBorder="1" applyAlignment="1">
      <alignment horizontal="left" vertical="top" wrapText="1"/>
    </xf>
    <xf numFmtId="0" fontId="10" fillId="0" borderId="0" xfId="0" applyFont="1" applyAlignment="1" applyProtection="1">
      <alignment horizontal="center" vertical="top"/>
    </xf>
    <xf numFmtId="0" fontId="4" fillId="0" borderId="0" xfId="0" applyFont="1" applyBorder="1" applyAlignment="1" applyProtection="1">
      <alignment horizontal="center" vertical="top"/>
    </xf>
    <xf numFmtId="0" fontId="4" fillId="0" borderId="0" xfId="0" applyFont="1" applyBorder="1" applyAlignment="1" applyProtection="1">
      <alignment horizontal="center" vertical="top"/>
      <protection locked="0"/>
    </xf>
    <xf numFmtId="0" fontId="10" fillId="0" borderId="0" xfId="0" applyFont="1" applyBorder="1" applyAlignment="1" applyProtection="1">
      <alignment horizontal="center" vertical="top"/>
    </xf>
    <xf numFmtId="0" fontId="12" fillId="0" borderId="0" xfId="0" applyFont="1" applyProtection="1"/>
    <xf numFmtId="0" fontId="2" fillId="0" borderId="1" xfId="0" applyFont="1" applyBorder="1" applyAlignment="1">
      <alignment horizontal="center" vertical="top" wrapText="1"/>
    </xf>
    <xf numFmtId="0" fontId="4" fillId="0" borderId="0" xfId="0" applyFont="1" applyAlignment="1">
      <alignment horizontal="center" vertical="top"/>
    </xf>
    <xf numFmtId="0" fontId="0" fillId="0" borderId="0" xfId="0" applyAlignment="1">
      <alignment vertical="top" wrapText="1"/>
    </xf>
    <xf numFmtId="0" fontId="0" fillId="0" borderId="0" xfId="0" applyBorder="1" applyAlignment="1">
      <alignment horizontal="center" vertical="top"/>
    </xf>
    <xf numFmtId="2" fontId="15" fillId="0" borderId="0" xfId="0" applyNumberFormat="1" applyFont="1" applyAlignment="1">
      <alignment horizontal="center" vertical="top"/>
    </xf>
    <xf numFmtId="164" fontId="15" fillId="0" borderId="0" xfId="0" applyNumberFormat="1" applyFont="1" applyAlignment="1">
      <alignment horizontal="center" vertical="top"/>
    </xf>
    <xf numFmtId="0" fontId="10" fillId="0" borderId="0" xfId="0" applyFont="1" applyAlignment="1">
      <alignment horizontal="left" vertical="center"/>
    </xf>
    <xf numFmtId="0" fontId="2" fillId="0" borderId="0" xfId="0" applyFont="1" applyAlignment="1">
      <alignment horizontal="left" vertical="center"/>
    </xf>
    <xf numFmtId="0" fontId="0" fillId="0" borderId="0" xfId="0" applyAlignment="1">
      <alignment vertical="center"/>
    </xf>
    <xf numFmtId="0" fontId="4" fillId="0" borderId="0" xfId="0" applyFont="1" applyAlignment="1">
      <alignment vertical="center"/>
    </xf>
    <xf numFmtId="0" fontId="2" fillId="0" borderId="0" xfId="0" applyFont="1" applyAlignment="1">
      <alignment vertical="center"/>
    </xf>
    <xf numFmtId="0" fontId="10" fillId="0" borderId="0" xfId="0" applyFont="1" applyAlignment="1">
      <alignment vertical="center"/>
    </xf>
    <xf numFmtId="0" fontId="10" fillId="0" borderId="0" xfId="0" applyFont="1" applyAlignment="1">
      <alignment vertical="center" wrapText="1"/>
    </xf>
    <xf numFmtId="0" fontId="2" fillId="0" borderId="0" xfId="0" applyFont="1" applyAlignment="1" applyProtection="1">
      <alignment horizontal="center" vertical="center"/>
    </xf>
    <xf numFmtId="0" fontId="2" fillId="0" borderId="1" xfId="0" applyFont="1" applyBorder="1" applyAlignment="1">
      <alignment horizontal="center" vertical="top" wrapText="1"/>
    </xf>
    <xf numFmtId="0" fontId="2" fillId="0" borderId="1" xfId="0" applyFont="1" applyBorder="1" applyAlignment="1">
      <alignment horizontal="center" vertical="top" wrapText="1"/>
    </xf>
    <xf numFmtId="0" fontId="16" fillId="0" borderId="1" xfId="0" applyFont="1" applyBorder="1" applyAlignment="1">
      <alignment horizontal="center" vertical="top"/>
    </xf>
    <xf numFmtId="0" fontId="17" fillId="0" borderId="1" xfId="0" applyFont="1" applyBorder="1" applyAlignment="1">
      <alignment horizontal="center" vertical="top" wrapText="1"/>
    </xf>
    <xf numFmtId="0" fontId="17" fillId="0" borderId="1" xfId="0" applyFont="1" applyFill="1" applyBorder="1" applyAlignment="1">
      <alignment horizontal="center" vertical="top" wrapText="1"/>
    </xf>
    <xf numFmtId="0" fontId="2" fillId="0" borderId="1" xfId="0" applyFont="1" applyBorder="1" applyAlignment="1">
      <alignment horizontal="center" vertical="top" wrapText="1"/>
    </xf>
    <xf numFmtId="0" fontId="2" fillId="0" borderId="13" xfId="0" applyFont="1" applyBorder="1" applyAlignment="1">
      <alignment horizontal="center" vertical="top" wrapText="1"/>
    </xf>
    <xf numFmtId="0" fontId="0" fillId="0" borderId="0" xfId="0" applyBorder="1" applyAlignment="1">
      <alignment vertical="top"/>
    </xf>
    <xf numFmtId="0" fontId="18" fillId="0" borderId="1" xfId="0" applyFont="1" applyBorder="1" applyAlignment="1">
      <alignment horizontal="center" vertical="top"/>
    </xf>
    <xf numFmtId="0" fontId="0" fillId="0" borderId="1" xfId="0" applyFill="1" applyBorder="1" applyAlignment="1">
      <alignment vertical="top" wrapText="1"/>
    </xf>
    <xf numFmtId="0" fontId="18" fillId="0" borderId="1" xfId="0" applyFont="1" applyBorder="1" applyAlignment="1">
      <alignment horizontal="center" vertical="top" wrapText="1"/>
    </xf>
    <xf numFmtId="0" fontId="2" fillId="0" borderId="0" xfId="0" applyFont="1" applyBorder="1" applyAlignment="1">
      <alignment vertical="top" wrapText="1"/>
    </xf>
    <xf numFmtId="0" fontId="0" fillId="0" borderId="0" xfId="0" applyBorder="1" applyAlignment="1">
      <alignment vertical="top" wrapText="1"/>
    </xf>
    <xf numFmtId="0" fontId="2" fillId="0" borderId="0" xfId="0" applyFont="1" applyAlignment="1">
      <alignment vertical="top"/>
    </xf>
    <xf numFmtId="0" fontId="2" fillId="0" borderId="0" xfId="0" applyFont="1" applyAlignment="1">
      <alignment vertical="center" wrapText="1"/>
    </xf>
    <xf numFmtId="0" fontId="0" fillId="0" borderId="0" xfId="0" applyBorder="1"/>
    <xf numFmtId="0" fontId="10" fillId="0" borderId="0" xfId="0" applyFont="1" applyAlignment="1" applyProtection="1">
      <alignment horizontal="center" vertical="top"/>
      <protection locked="0"/>
    </xf>
    <xf numFmtId="15" fontId="2" fillId="0" borderId="0" xfId="0" applyNumberFormat="1" applyFont="1" applyAlignment="1">
      <alignment horizontal="center" vertical="top"/>
    </xf>
    <xf numFmtId="0" fontId="10" fillId="0" borderId="1" xfId="0" applyFont="1" applyBorder="1" applyAlignment="1">
      <alignment horizontal="center" vertical="top"/>
    </xf>
    <xf numFmtId="15" fontId="2" fillId="0" borderId="0" xfId="0" applyNumberFormat="1" applyFont="1" applyAlignment="1">
      <alignment horizontal="center"/>
    </xf>
    <xf numFmtId="0" fontId="0" fillId="0" borderId="0" xfId="0" applyAlignment="1" applyProtection="1">
      <alignment horizontal="center"/>
      <protection locked="0"/>
    </xf>
    <xf numFmtId="0" fontId="19" fillId="0" borderId="1" xfId="0" applyFont="1" applyBorder="1" applyAlignment="1">
      <alignment horizontal="center" vertical="top"/>
    </xf>
    <xf numFmtId="0" fontId="0" fillId="0" borderId="0" xfId="0" applyAlignment="1"/>
    <xf numFmtId="0" fontId="20" fillId="0" borderId="1" xfId="0" applyFont="1" applyBorder="1" applyAlignment="1">
      <alignment horizontal="center" vertical="top" wrapText="1"/>
    </xf>
    <xf numFmtId="0" fontId="20" fillId="0" borderId="1" xfId="0" applyFont="1" applyFill="1" applyBorder="1" applyAlignment="1">
      <alignment horizontal="center" vertical="top" wrapText="1"/>
    </xf>
    <xf numFmtId="0" fontId="2" fillId="0" borderId="0" xfId="0" applyFont="1" applyBorder="1" applyAlignment="1">
      <alignment horizontal="center" vertical="top" wrapText="1"/>
    </xf>
    <xf numFmtId="0" fontId="0" fillId="0" borderId="0" xfId="0" applyBorder="1" applyAlignment="1">
      <alignment horizontal="center" vertical="top" wrapText="1"/>
    </xf>
    <xf numFmtId="0" fontId="0" fillId="0" borderId="0" xfId="0" applyFill="1" applyBorder="1" applyAlignment="1">
      <alignment vertical="top" wrapText="1"/>
    </xf>
    <xf numFmtId="0" fontId="12" fillId="0" borderId="11" xfId="0" applyFont="1" applyBorder="1" applyAlignment="1">
      <alignment horizontal="justify" vertical="top" wrapText="1"/>
    </xf>
    <xf numFmtId="0" fontId="12" fillId="0" borderId="5" xfId="0" applyFont="1" applyBorder="1" applyAlignment="1">
      <alignment horizontal="justify" vertical="top" wrapText="1"/>
    </xf>
    <xf numFmtId="0" fontId="2" fillId="0" borderId="11" xfId="0" applyFont="1" applyBorder="1" applyAlignment="1">
      <alignment horizontal="center" vertical="top" wrapText="1"/>
    </xf>
    <xf numFmtId="0" fontId="2" fillId="0" borderId="5" xfId="0" applyFont="1" applyBorder="1" applyAlignment="1">
      <alignment horizontal="center" vertical="top" wrapText="1"/>
    </xf>
    <xf numFmtId="0" fontId="11" fillId="0" borderId="11" xfId="0" applyFont="1" applyBorder="1" applyAlignment="1">
      <alignment horizontal="justify" vertical="top" wrapText="1"/>
    </xf>
    <xf numFmtId="0" fontId="11" fillId="0" borderId="5" xfId="0" applyFont="1" applyBorder="1" applyAlignment="1">
      <alignment horizontal="justify" vertical="top" wrapText="1"/>
    </xf>
    <xf numFmtId="0" fontId="11" fillId="0" borderId="11" xfId="0" applyFont="1" applyBorder="1" applyAlignment="1">
      <alignment horizontal="center" vertical="center" wrapText="1"/>
    </xf>
    <xf numFmtId="0" fontId="11" fillId="0" borderId="5" xfId="0" applyFont="1" applyBorder="1" applyAlignment="1">
      <alignment horizontal="center" vertical="center" wrapText="1"/>
    </xf>
    <xf numFmtId="0" fontId="2" fillId="0" borderId="11" xfId="0" applyFont="1" applyBorder="1" applyAlignment="1">
      <alignment horizontal="center" vertical="center" wrapText="1"/>
    </xf>
    <xf numFmtId="0" fontId="2" fillId="0" borderId="5" xfId="0" applyFont="1" applyBorder="1" applyAlignment="1">
      <alignment horizontal="center" vertical="center" wrapText="1"/>
    </xf>
    <xf numFmtId="0" fontId="2" fillId="0" borderId="9" xfId="0" applyFont="1" applyBorder="1" applyAlignment="1">
      <alignment horizontal="center" vertical="top" wrapText="1"/>
    </xf>
    <xf numFmtId="0" fontId="11" fillId="0" borderId="9" xfId="0" applyFont="1" applyBorder="1" applyAlignment="1">
      <alignment horizontal="justify" vertical="top" wrapText="1"/>
    </xf>
    <xf numFmtId="0" fontId="10" fillId="0" borderId="0" xfId="0" applyFont="1" applyAlignment="1">
      <alignment horizontal="left" vertical="center"/>
    </xf>
    <xf numFmtId="0" fontId="2" fillId="0" borderId="0" xfId="0" applyFont="1" applyAlignment="1">
      <alignment horizontal="left" vertical="center"/>
    </xf>
    <xf numFmtId="0" fontId="2" fillId="0" borderId="13" xfId="0" applyFont="1" applyBorder="1" applyAlignment="1">
      <alignment horizontal="center" vertical="top" wrapText="1"/>
    </xf>
    <xf numFmtId="0" fontId="2" fillId="0" borderId="14" xfId="0" applyFont="1" applyBorder="1" applyAlignment="1">
      <alignment horizontal="center" vertical="top" wrapText="1"/>
    </xf>
    <xf numFmtId="0" fontId="5" fillId="0" borderId="2" xfId="0" applyFont="1" applyBorder="1" applyAlignment="1">
      <alignment horizontal="center" vertical="center"/>
    </xf>
    <xf numFmtId="0" fontId="5" fillId="0" borderId="3" xfId="0" applyFont="1" applyBorder="1" applyAlignment="1">
      <alignment horizontal="center" vertical="center"/>
    </xf>
    <xf numFmtId="0" fontId="7" fillId="0" borderId="0" xfId="0" applyFont="1" applyBorder="1" applyAlignment="1">
      <alignment horizontal="center"/>
    </xf>
    <xf numFmtId="0" fontId="7" fillId="0" borderId="8" xfId="0" applyFont="1" applyBorder="1" applyAlignment="1">
      <alignment horizontal="center"/>
    </xf>
    <xf numFmtId="0" fontId="2" fillId="0" borderId="0" xfId="0" applyFont="1" applyAlignment="1" applyProtection="1">
      <alignment horizontal="center" vertical="top"/>
    </xf>
  </cellXfs>
  <cellStyles count="1">
    <cellStyle name="Normal" xfId="0" builtinId="0"/>
  </cellStyles>
  <dxfs count="6">
    <dxf>
      <font>
        <color theme="0" tint="-0.499984740745262"/>
      </font>
    </dxf>
    <dxf>
      <font>
        <color theme="0" tint="-0.499984740745262"/>
      </font>
    </dxf>
    <dxf>
      <font>
        <color theme="0" tint="-0.499984740745262"/>
      </font>
    </dxf>
    <dxf>
      <font>
        <color theme="0" tint="-0.499984740745262"/>
      </font>
    </dxf>
    <dxf>
      <font>
        <color theme="0" tint="-0.499984740745262"/>
      </font>
    </dxf>
    <dxf>
      <font>
        <color theme="0" tint="-0.499984740745262"/>
      </font>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20"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0</xdr:colOff>
          <xdr:row>25</xdr:row>
          <xdr:rowOff>76200</xdr:rowOff>
        </xdr:from>
        <xdr:to>
          <xdr:col>7</xdr:col>
          <xdr:colOff>781050</xdr:colOff>
          <xdr:row>27</xdr:row>
          <xdr:rowOff>19050</xdr:rowOff>
        </xdr:to>
        <xdr:sp macro="" textlink="">
          <xdr:nvSpPr>
            <xdr:cNvPr id="1051" name="Button 27" hidden="1">
              <a:extLst>
                <a:ext uri="{63B3BB69-23CF-44E3-9099-C40C66FF867C}">
                  <a14:compatExt spid="_x0000_s105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0" u="none" strike="noStrike" baseline="0">
                  <a:solidFill>
                    <a:srgbClr val="000000"/>
                  </a:solidFill>
                  <a:latin typeface="Calibri"/>
                </a:rPr>
                <a:t>Run</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1.bin"/><Relationship Id="rId4" Type="http://schemas.openxmlformats.org/officeDocument/2006/relationships/ctrlProp" Target="../ctrlProps/ctrlProp1.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F51"/>
  <sheetViews>
    <sheetView workbookViewId="0">
      <selection activeCell="F16" sqref="F16"/>
    </sheetView>
  </sheetViews>
  <sheetFormatPr defaultRowHeight="15" x14ac:dyDescent="0.25"/>
  <cols>
    <col min="1" max="1" width="13" style="25" customWidth="1"/>
    <col min="2" max="2" width="12.85546875" style="25" customWidth="1"/>
    <col min="3" max="3" width="13.42578125" style="25" customWidth="1"/>
    <col min="4" max="4" width="9.85546875" style="25" customWidth="1"/>
    <col min="5" max="5" width="27.140625" style="25" customWidth="1"/>
    <col min="6" max="6" width="10.5703125" style="25" customWidth="1"/>
    <col min="7" max="7" width="10.7109375" style="25" customWidth="1"/>
    <col min="8" max="16384" width="9.140625" style="25"/>
  </cols>
  <sheetData>
    <row r="1" spans="1:6" x14ac:dyDescent="0.25">
      <c r="A1" s="25" t="s">
        <v>8</v>
      </c>
      <c r="B1" s="25" t="s">
        <v>4</v>
      </c>
      <c r="C1" s="25" t="s">
        <v>117</v>
      </c>
    </row>
    <row r="2" spans="1:6" x14ac:dyDescent="0.25">
      <c r="A2" s="25" t="s">
        <v>4</v>
      </c>
      <c r="B2" s="25" t="s">
        <v>112</v>
      </c>
      <c r="C2" s="25" t="s">
        <v>116</v>
      </c>
    </row>
    <row r="3" spans="1:6" x14ac:dyDescent="0.25">
      <c r="A3" s="25" t="s">
        <v>117</v>
      </c>
      <c r="B3" s="25" t="s">
        <v>114</v>
      </c>
      <c r="C3" s="25" t="s">
        <v>113</v>
      </c>
    </row>
    <row r="6" spans="1:6" x14ac:dyDescent="0.25">
      <c r="A6" s="25" t="s">
        <v>5</v>
      </c>
      <c r="B6" s="25" t="s">
        <v>6</v>
      </c>
      <c r="C6" s="25" t="s">
        <v>7</v>
      </c>
      <c r="D6" s="25" t="s">
        <v>255</v>
      </c>
    </row>
    <row r="7" spans="1:6" x14ac:dyDescent="0.25">
      <c r="A7" s="25" t="s">
        <v>6</v>
      </c>
      <c r="B7" s="25" t="s">
        <v>10</v>
      </c>
      <c r="C7" s="25" t="s">
        <v>34</v>
      </c>
      <c r="D7" s="25" t="s">
        <v>256</v>
      </c>
    </row>
    <row r="8" spans="1:6" x14ac:dyDescent="0.25">
      <c r="A8" s="25" t="s">
        <v>7</v>
      </c>
      <c r="B8" s="25" t="s">
        <v>11</v>
      </c>
      <c r="C8" s="25" t="s">
        <v>35</v>
      </c>
      <c r="D8" s="25" t="s">
        <v>257</v>
      </c>
    </row>
    <row r="9" spans="1:6" x14ac:dyDescent="0.25">
      <c r="C9" s="25" t="s">
        <v>12</v>
      </c>
    </row>
    <row r="11" spans="1:6" x14ac:dyDescent="0.25">
      <c r="A11" s="25" t="s">
        <v>13</v>
      </c>
      <c r="C11" s="25" t="s">
        <v>129</v>
      </c>
    </row>
    <row r="12" spans="1:6" x14ac:dyDescent="0.25">
      <c r="A12" s="25" t="s">
        <v>9</v>
      </c>
      <c r="C12" s="25" t="s">
        <v>123</v>
      </c>
    </row>
    <row r="13" spans="1:6" x14ac:dyDescent="0.25">
      <c r="A13" s="25" t="s">
        <v>108</v>
      </c>
      <c r="C13" s="25" t="s">
        <v>128</v>
      </c>
    </row>
    <row r="15" spans="1:6" x14ac:dyDescent="0.25">
      <c r="A15" s="25" t="s">
        <v>14</v>
      </c>
      <c r="F15" s="28"/>
    </row>
    <row r="16" spans="1:6" x14ac:dyDescent="0.25">
      <c r="A16" s="25" t="s">
        <v>15</v>
      </c>
      <c r="C16" s="25" t="s">
        <v>184</v>
      </c>
      <c r="F16" s="28"/>
    </row>
    <row r="17" spans="1:6" x14ac:dyDescent="0.25">
      <c r="A17" s="25" t="s">
        <v>16</v>
      </c>
      <c r="C17" s="25" t="s">
        <v>110</v>
      </c>
    </row>
    <row r="18" spans="1:6" x14ac:dyDescent="0.25">
      <c r="C18" s="25" t="s">
        <v>111</v>
      </c>
      <c r="E18" s="29"/>
      <c r="F18" s="29"/>
    </row>
    <row r="19" spans="1:6" x14ac:dyDescent="0.25">
      <c r="A19" s="25" t="s">
        <v>17</v>
      </c>
      <c r="E19" s="29"/>
      <c r="F19" s="29"/>
    </row>
    <row r="20" spans="1:6" x14ac:dyDescent="0.25">
      <c r="A20" s="25" t="s">
        <v>0</v>
      </c>
      <c r="C20" s="25" t="s">
        <v>109</v>
      </c>
      <c r="E20" s="29"/>
      <c r="F20" s="29"/>
    </row>
    <row r="21" spans="1:6" x14ac:dyDescent="0.25">
      <c r="A21" s="25" t="s">
        <v>269</v>
      </c>
      <c r="C21" s="25" t="s">
        <v>110</v>
      </c>
      <c r="E21" s="29"/>
      <c r="F21" s="29"/>
    </row>
    <row r="22" spans="1:6" x14ac:dyDescent="0.25">
      <c r="A22" s="25" t="s">
        <v>1</v>
      </c>
      <c r="C22" s="25" t="s">
        <v>111</v>
      </c>
      <c r="E22" s="29"/>
      <c r="F22" s="29"/>
    </row>
    <row r="23" spans="1:6" x14ac:dyDescent="0.25">
      <c r="A23" s="25" t="s">
        <v>2</v>
      </c>
      <c r="E23" s="29"/>
      <c r="F23" s="29"/>
    </row>
    <row r="24" spans="1:6" x14ac:dyDescent="0.25">
      <c r="A24" s="25" t="s">
        <v>3</v>
      </c>
      <c r="C24" s="25" t="s">
        <v>88</v>
      </c>
      <c r="E24" s="29"/>
      <c r="F24" s="29"/>
    </row>
    <row r="25" spans="1:6" x14ac:dyDescent="0.25">
      <c r="A25" s="25" t="s">
        <v>133</v>
      </c>
      <c r="C25" s="25" t="s">
        <v>89</v>
      </c>
      <c r="E25" s="29"/>
      <c r="F25" s="29"/>
    </row>
    <row r="26" spans="1:6" x14ac:dyDescent="0.25">
      <c r="C26" s="25" t="s">
        <v>90</v>
      </c>
      <c r="E26" s="29"/>
      <c r="F26" s="29"/>
    </row>
    <row r="27" spans="1:6" x14ac:dyDescent="0.25">
      <c r="E27" s="29"/>
      <c r="F27" s="29"/>
    </row>
    <row r="28" spans="1:6" x14ac:dyDescent="0.25">
      <c r="E28" s="29"/>
      <c r="F28" s="29"/>
    </row>
    <row r="29" spans="1:6" x14ac:dyDescent="0.25">
      <c r="E29" s="29"/>
      <c r="F29" s="29"/>
    </row>
    <row r="30" spans="1:6" x14ac:dyDescent="0.25">
      <c r="E30" s="29"/>
      <c r="F30" s="29"/>
    </row>
    <row r="31" spans="1:6" x14ac:dyDescent="0.25">
      <c r="E31" s="29"/>
      <c r="F31" s="29"/>
    </row>
    <row r="32" spans="1:6" x14ac:dyDescent="0.25">
      <c r="E32" s="29"/>
      <c r="F32" s="29"/>
    </row>
    <row r="33" spans="5:6" x14ac:dyDescent="0.25">
      <c r="E33" s="29"/>
      <c r="F33" s="29"/>
    </row>
    <row r="34" spans="5:6" x14ac:dyDescent="0.25">
      <c r="E34" s="29"/>
      <c r="F34" s="29"/>
    </row>
    <row r="35" spans="5:6" x14ac:dyDescent="0.25">
      <c r="E35" s="29"/>
      <c r="F35" s="29"/>
    </row>
    <row r="36" spans="5:6" x14ac:dyDescent="0.25">
      <c r="E36" s="29"/>
      <c r="F36" s="29"/>
    </row>
    <row r="37" spans="5:6" x14ac:dyDescent="0.25">
      <c r="E37" s="29"/>
      <c r="F37" s="29"/>
    </row>
    <row r="38" spans="5:6" x14ac:dyDescent="0.25">
      <c r="E38" s="29"/>
      <c r="F38" s="29"/>
    </row>
    <row r="39" spans="5:6" x14ac:dyDescent="0.25">
      <c r="E39" s="29"/>
      <c r="F39" s="29"/>
    </row>
    <row r="40" spans="5:6" x14ac:dyDescent="0.25">
      <c r="E40" s="29"/>
      <c r="F40" s="29"/>
    </row>
    <row r="41" spans="5:6" x14ac:dyDescent="0.25">
      <c r="E41" s="29"/>
      <c r="F41" s="29"/>
    </row>
    <row r="42" spans="5:6" x14ac:dyDescent="0.25">
      <c r="E42" s="29"/>
      <c r="F42" s="29"/>
    </row>
    <row r="43" spans="5:6" x14ac:dyDescent="0.25">
      <c r="E43" s="29"/>
      <c r="F43" s="29"/>
    </row>
    <row r="44" spans="5:6" x14ac:dyDescent="0.25">
      <c r="E44" s="29"/>
      <c r="F44" s="29"/>
    </row>
    <row r="45" spans="5:6" x14ac:dyDescent="0.25">
      <c r="E45" s="29"/>
      <c r="F45" s="29"/>
    </row>
    <row r="46" spans="5:6" x14ac:dyDescent="0.25">
      <c r="E46" s="29"/>
      <c r="F46" s="29"/>
    </row>
    <row r="47" spans="5:6" x14ac:dyDescent="0.25">
      <c r="E47" s="29"/>
      <c r="F47" s="29"/>
    </row>
    <row r="48" spans="5:6" x14ac:dyDescent="0.25">
      <c r="E48" s="29"/>
      <c r="F48" s="29"/>
    </row>
    <row r="49" spans="5:6" x14ac:dyDescent="0.25">
      <c r="E49" s="29"/>
      <c r="F49" s="29"/>
    </row>
    <row r="50" spans="5:6" x14ac:dyDescent="0.25">
      <c r="E50" s="29"/>
      <c r="F50" s="29"/>
    </row>
    <row r="51" spans="5:6" x14ac:dyDescent="0.25">
      <c r="E51" s="29"/>
      <c r="F51" s="29"/>
    </row>
  </sheetData>
  <dataConsolidate/>
  <dataValidations count="14">
    <dataValidation type="list" allowBlank="1" showInputMessage="1" showErrorMessage="1" sqref="B2:B3">
      <formula1>Secure</formula1>
    </dataValidation>
    <dataValidation type="list" allowBlank="1" showInputMessage="1" showErrorMessage="1" sqref="A16:A17">
      <formula1>Vendors</formula1>
    </dataValidation>
    <dataValidation type="list" allowBlank="1" showInputMessage="1" showErrorMessage="1" errorTitle="OS" error="Enter Linux or stand-alone" sqref="A12:A13">
      <formula1>OS</formula1>
    </dataValidation>
    <dataValidation type="list" allowBlank="1" showInputMessage="1" showErrorMessage="1" sqref="C25:C26">
      <formula1>BootROM</formula1>
    </dataValidation>
    <dataValidation type="list" allowBlank="1" showInputMessage="1" showErrorMessage="1" sqref="C21:C22">
      <formula1>pl_power</formula1>
    </dataValidation>
    <dataValidation type="list" allowBlank="1" showInputMessage="1" showErrorMessage="1" sqref="C7:C9">
      <formula1>QSPI</formula1>
    </dataValidation>
    <dataValidation type="list" allowBlank="1" showInputMessage="1" showErrorMessage="1" sqref="B7:B8">
      <formula1>NAND</formula1>
    </dataValidation>
    <dataValidation type="list" allowBlank="1" showInputMessage="1" showErrorMessage="1" sqref="C2:C3">
      <formula1>NonSecure</formula1>
    </dataValidation>
    <dataValidation type="list" allowBlank="1" showInputMessage="1" showErrorMessage="1" sqref="A7:A8">
      <formula1>Boot_Device</formula1>
    </dataValidation>
    <dataValidation type="list" allowBlank="1" showInputMessage="1" showErrorMessage="1" sqref="C12:C13">
      <formula1>voltage</formula1>
    </dataValidation>
    <dataValidation type="list" allowBlank="1" showInputMessage="1" showErrorMessage="1" sqref="A2:A3">
      <formula1>Boot_type</formula1>
    </dataValidation>
    <dataValidation type="list" allowBlank="1" showInputMessage="1" showErrorMessage="1" sqref="C17:C18">
      <formula1>CRC_Enabled</formula1>
    </dataValidation>
    <dataValidation type="list" allowBlank="1" showInputMessage="1" showErrorMessage="1" sqref="D7:D8">
      <formula1>QSPI_type</formula1>
    </dataValidation>
    <dataValidation type="list" allowBlank="1" showInputMessage="1" showErrorMessage="1" sqref="A22:A25 A20">
      <formula1>zynq_devices</formula1>
    </dataValidation>
  </dataValidations>
  <pageMargins left="0.7" right="0.7" top="0.75" bottom="0.75" header="0.3" footer="0.3"/>
  <pageSetup orientation="portrait" r:id="rId1"/>
  <headerFooter>
    <oddFooter>&amp;C&amp;"arial,Regular"&amp;10&amp;KE36C0AXILINX INTERNAL</oddFooter>
    <evenFooter>&amp;C&amp;"arial,Regular"&amp;10&amp;KE36C0AXILINX INTERNAL</evenFooter>
    <firstFooter>&amp;C&amp;"arial,Regular"&amp;10&amp;KE36C0AXILINX INTERNAL</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2:D10"/>
  <sheetViews>
    <sheetView workbookViewId="0">
      <selection activeCell="Q8" sqref="Q8"/>
    </sheetView>
  </sheetViews>
  <sheetFormatPr defaultRowHeight="15" x14ac:dyDescent="0.25"/>
  <cols>
    <col min="1" max="1" width="20.5703125" customWidth="1"/>
    <col min="3" max="3" width="11.85546875" customWidth="1"/>
  </cols>
  <sheetData>
    <row r="2" spans="1:4" ht="18.75" x14ac:dyDescent="0.25">
      <c r="A2" s="59" t="s">
        <v>230</v>
      </c>
      <c r="B2" s="62">
        <v>1</v>
      </c>
      <c r="C2" s="63">
        <v>41379</v>
      </c>
      <c r="D2" s="3" t="s">
        <v>231</v>
      </c>
    </row>
    <row r="3" spans="1:4" ht="15.75" x14ac:dyDescent="0.25">
      <c r="B3" s="62">
        <v>2</v>
      </c>
      <c r="C3" s="63">
        <v>41418</v>
      </c>
      <c r="D3" s="3" t="s">
        <v>258</v>
      </c>
    </row>
    <row r="4" spans="1:4" ht="15.75" x14ac:dyDescent="0.25">
      <c r="B4" s="62">
        <v>2.1</v>
      </c>
      <c r="C4" s="63">
        <v>41428</v>
      </c>
      <c r="D4" s="3" t="s">
        <v>259</v>
      </c>
    </row>
    <row r="5" spans="1:4" ht="15.75" x14ac:dyDescent="0.25">
      <c r="B5" s="62">
        <v>2.2000000000000002</v>
      </c>
      <c r="C5" s="89">
        <v>41435</v>
      </c>
      <c r="D5" s="3" t="s">
        <v>266</v>
      </c>
    </row>
    <row r="6" spans="1:4" ht="15.75" x14ac:dyDescent="0.25">
      <c r="B6" s="62">
        <v>2.2999999999999998</v>
      </c>
      <c r="C6" s="89">
        <v>41480</v>
      </c>
      <c r="D6" s="3" t="s">
        <v>267</v>
      </c>
    </row>
    <row r="7" spans="1:4" ht="15.75" x14ac:dyDescent="0.25">
      <c r="B7" s="62">
        <v>2.4</v>
      </c>
      <c r="C7" s="91">
        <v>41505</v>
      </c>
      <c r="D7" s="3" t="s">
        <v>268</v>
      </c>
    </row>
    <row r="8" spans="1:4" ht="15.75" x14ac:dyDescent="0.25">
      <c r="B8" s="62">
        <v>2.5</v>
      </c>
      <c r="C8" s="91">
        <v>41568</v>
      </c>
      <c r="D8" s="3" t="s">
        <v>270</v>
      </c>
    </row>
    <row r="9" spans="1:4" ht="15.75" x14ac:dyDescent="0.25">
      <c r="B9" s="62">
        <v>2.5099999999999998</v>
      </c>
      <c r="C9" s="91">
        <v>41583</v>
      </c>
      <c r="D9" s="3" t="s">
        <v>276</v>
      </c>
    </row>
    <row r="10" spans="1:4" ht="15.75" x14ac:dyDescent="0.25">
      <c r="B10" s="62">
        <v>2.6</v>
      </c>
      <c r="C10" s="89">
        <v>41814</v>
      </c>
      <c r="D10" s="3" t="s">
        <v>280</v>
      </c>
    </row>
  </sheetData>
  <sheetProtection password="EAA2" sheet="1" objects="1" scenarios="1"/>
  <pageMargins left="0.7" right="0.7" top="0.75" bottom="0.75" header="0.3" footer="0.3"/>
  <pageSetup orientation="portrait" r:id="rId1"/>
  <headerFooter>
    <oddFooter>&amp;C&amp;"arial,Regular"&amp;10&amp;KE36C0AXILINX INTERNAL</oddFooter>
    <evenFooter>&amp;C&amp;"arial,Regular"&amp;10&amp;KE36C0AXILINX INTERNAL</evenFooter>
    <firstFooter>&amp;C&amp;"arial,Regular"&amp;10&amp;KE36C0AXILINX INTERNAL</first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5:A6"/>
  <sheetViews>
    <sheetView tabSelected="1" workbookViewId="0">
      <selection sqref="A1:XFD1048576"/>
    </sheetView>
  </sheetViews>
  <sheetFormatPr defaultRowHeight="15" x14ac:dyDescent="0.25"/>
  <sheetData>
    <row r="5" spans="1:1" x14ac:dyDescent="0.25">
      <c r="A5" t="s">
        <v>286</v>
      </c>
    </row>
    <row r="6" spans="1:1" x14ac:dyDescent="0.25">
      <c r="A6" t="s">
        <v>252</v>
      </c>
    </row>
  </sheetData>
  <sheetProtection algorithmName="SHA-512" hashValue="RpvIQ3oAkLVHz84qllSc3Qpr0YKWU0FNJNIRM98I1u2Mb0uREx6KYYNjtWDg955HRh6wggOK9SyFeT2qwmThLQ==" saltValue="Qv04BjNjl5yLMFtGdZj9nA==" spinCount="100000" sheet="1" objects="1" scenarios="1"/>
  <pageMargins left="0.7" right="0.7" top="0.75" bottom="0.75" header="0.3" footer="0.3"/>
  <pageSetup orientation="portrait" r:id="rId1"/>
  <headerFooter>
    <oddFooter>&amp;C&amp;"arial,Regular"&amp;10&amp;KE36C0AXILINX INTERNAL</oddFooter>
    <evenFooter>&amp;C&amp;"arial,Regular"&amp;10&amp;KE36C0AXILINX INTERNAL</evenFooter>
    <firstFooter>&amp;C&amp;"arial,Regular"&amp;10&amp;KE36C0AXILINX INTERNAL</first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2:D29"/>
  <sheetViews>
    <sheetView workbookViewId="0">
      <selection activeCell="C17" sqref="C17:C18"/>
    </sheetView>
  </sheetViews>
  <sheetFormatPr defaultRowHeight="15" x14ac:dyDescent="0.25"/>
  <cols>
    <col min="1" max="1" width="22.5703125" customWidth="1"/>
    <col min="2" max="2" width="14.5703125" customWidth="1"/>
    <col min="3" max="3" width="34.7109375" customWidth="1"/>
    <col min="4" max="4" width="56.140625" customWidth="1"/>
  </cols>
  <sheetData>
    <row r="2" spans="1:4" ht="18.75" x14ac:dyDescent="0.3">
      <c r="A2" s="6" t="s">
        <v>134</v>
      </c>
    </row>
    <row r="3" spans="1:4" ht="18.75" x14ac:dyDescent="0.3">
      <c r="A3" s="6" t="s">
        <v>135</v>
      </c>
      <c r="B3" t="s">
        <v>136</v>
      </c>
    </row>
    <row r="4" spans="1:4" ht="18.75" x14ac:dyDescent="0.3">
      <c r="A4" s="6" t="s">
        <v>137</v>
      </c>
      <c r="B4" t="s">
        <v>170</v>
      </c>
    </row>
    <row r="5" spans="1:4" ht="18.75" x14ac:dyDescent="0.3">
      <c r="A5" s="6" t="s">
        <v>88</v>
      </c>
      <c r="B5" t="s">
        <v>208</v>
      </c>
    </row>
    <row r="6" spans="1:4" ht="18.75" x14ac:dyDescent="0.3">
      <c r="A6" s="6" t="s">
        <v>6</v>
      </c>
      <c r="B6" t="s">
        <v>138</v>
      </c>
    </row>
    <row r="7" spans="1:4" ht="18.75" x14ac:dyDescent="0.3">
      <c r="A7" s="6" t="s">
        <v>139</v>
      </c>
      <c r="B7" t="s">
        <v>138</v>
      </c>
    </row>
    <row r="8" spans="1:4" ht="18.75" x14ac:dyDescent="0.3">
      <c r="A8" s="6" t="s">
        <v>140</v>
      </c>
      <c r="B8" t="s">
        <v>141</v>
      </c>
    </row>
    <row r="9" spans="1:4" ht="18.75" x14ac:dyDescent="0.3">
      <c r="A9" s="6" t="s">
        <v>142</v>
      </c>
      <c r="B9" t="s">
        <v>143</v>
      </c>
    </row>
    <row r="11" spans="1:4" ht="18.75" x14ac:dyDescent="0.3">
      <c r="A11" s="6" t="s">
        <v>186</v>
      </c>
    </row>
    <row r="13" spans="1:4" x14ac:dyDescent="0.25">
      <c r="A13" t="s">
        <v>144</v>
      </c>
    </row>
    <row r="14" spans="1:4" ht="15.75" thickBot="1" x14ac:dyDescent="0.3"/>
    <row r="15" spans="1:4" ht="19.5" thickBot="1" x14ac:dyDescent="0.3">
      <c r="B15" s="35" t="s">
        <v>145</v>
      </c>
      <c r="C15" s="37" t="s">
        <v>146</v>
      </c>
      <c r="D15" s="37" t="s">
        <v>147</v>
      </c>
    </row>
    <row r="16" spans="1:4" ht="32.25" thickBot="1" x14ac:dyDescent="0.3">
      <c r="B16" s="36" t="s">
        <v>8</v>
      </c>
      <c r="C16" s="31" t="s">
        <v>148</v>
      </c>
      <c r="D16" s="32" t="s">
        <v>162</v>
      </c>
    </row>
    <row r="17" spans="2:4" ht="15.75" x14ac:dyDescent="0.25">
      <c r="B17" s="108" t="s">
        <v>20</v>
      </c>
      <c r="C17" s="106" t="s">
        <v>149</v>
      </c>
      <c r="D17" s="38" t="s">
        <v>163</v>
      </c>
    </row>
    <row r="18" spans="2:4" ht="48" thickBot="1" x14ac:dyDescent="0.3">
      <c r="B18" s="109"/>
      <c r="C18" s="107"/>
      <c r="D18" s="34" t="s">
        <v>164</v>
      </c>
    </row>
    <row r="19" spans="2:4" ht="45" x14ac:dyDescent="0.25">
      <c r="B19" s="102" t="s">
        <v>13</v>
      </c>
      <c r="C19" s="104" t="s">
        <v>150</v>
      </c>
      <c r="D19" s="39" t="s">
        <v>165</v>
      </c>
    </row>
    <row r="20" spans="2:4" x14ac:dyDescent="0.25">
      <c r="B20" s="110"/>
      <c r="C20" s="111"/>
      <c r="D20" s="33" t="s">
        <v>151</v>
      </c>
    </row>
    <row r="21" spans="2:4" ht="15.75" thickBot="1" x14ac:dyDescent="0.3">
      <c r="B21" s="103"/>
      <c r="C21" s="105"/>
      <c r="D21" s="31" t="s">
        <v>152</v>
      </c>
    </row>
    <row r="22" spans="2:4" ht="16.5" thickBot="1" x14ac:dyDescent="0.3">
      <c r="B22" s="36" t="s">
        <v>21</v>
      </c>
      <c r="C22" s="31" t="s">
        <v>153</v>
      </c>
      <c r="D22" s="32" t="s">
        <v>166</v>
      </c>
    </row>
    <row r="23" spans="2:4" ht="16.5" thickBot="1" x14ac:dyDescent="0.3">
      <c r="B23" s="36" t="s">
        <v>5</v>
      </c>
      <c r="C23" s="31" t="s">
        <v>154</v>
      </c>
      <c r="D23" s="32" t="s">
        <v>167</v>
      </c>
    </row>
    <row r="24" spans="2:4" x14ac:dyDescent="0.25">
      <c r="B24" s="102" t="s">
        <v>155</v>
      </c>
      <c r="C24" s="33" t="s">
        <v>156</v>
      </c>
      <c r="D24" s="100"/>
    </row>
    <row r="25" spans="2:4" ht="30.75" thickBot="1" x14ac:dyDescent="0.3">
      <c r="B25" s="103"/>
      <c r="C25" s="30" t="s">
        <v>168</v>
      </c>
      <c r="D25" s="101"/>
    </row>
    <row r="26" spans="2:4" ht="16.5" thickBot="1" x14ac:dyDescent="0.3">
      <c r="B26" s="51" t="s">
        <v>126</v>
      </c>
      <c r="C26" s="31" t="s">
        <v>157</v>
      </c>
      <c r="D26" s="32" t="s">
        <v>169</v>
      </c>
    </row>
    <row r="27" spans="2:4" ht="16.5" thickBot="1" x14ac:dyDescent="0.3">
      <c r="B27" s="51" t="s">
        <v>209</v>
      </c>
      <c r="C27" s="30" t="s">
        <v>210</v>
      </c>
      <c r="D27" s="32"/>
    </row>
    <row r="28" spans="2:4" ht="15.75" x14ac:dyDescent="0.25">
      <c r="B28" s="102" t="s">
        <v>158</v>
      </c>
      <c r="C28" s="104" t="s">
        <v>159</v>
      </c>
      <c r="D28" s="34" t="s">
        <v>160</v>
      </c>
    </row>
    <row r="29" spans="2:4" ht="16.5" thickBot="1" x14ac:dyDescent="0.3">
      <c r="B29" s="103"/>
      <c r="C29" s="105"/>
      <c r="D29" s="32" t="s">
        <v>161</v>
      </c>
    </row>
  </sheetData>
  <sheetProtection password="EAA2" sheet="1" objects="1" scenarios="1"/>
  <mergeCells count="8">
    <mergeCell ref="D24:D25"/>
    <mergeCell ref="B28:B29"/>
    <mergeCell ref="C28:C29"/>
    <mergeCell ref="C17:C18"/>
    <mergeCell ref="B17:B18"/>
    <mergeCell ref="B19:B21"/>
    <mergeCell ref="C19:C21"/>
    <mergeCell ref="B24:B25"/>
  </mergeCells>
  <pageMargins left="0.7" right="0.7" top="0.75" bottom="0.75" header="0.3" footer="0.3"/>
  <pageSetup orientation="portrait" r:id="rId1"/>
  <headerFooter>
    <oddFooter>&amp;C&amp;"arial,Regular"&amp;10&amp;KE36C0AXILINX INTERNAL</oddFooter>
    <evenFooter>&amp;C&amp;"arial,Regular"&amp;10&amp;KE36C0AXILINX INTERNAL</evenFooter>
    <firstFooter>&amp;C&amp;"arial,Regular"&amp;10&amp;KE36C0AXILINX INTERNAL</first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2:D60"/>
  <sheetViews>
    <sheetView topLeftCell="A4" zoomScaleNormal="100" workbookViewId="0">
      <selection activeCell="F24" sqref="F24"/>
    </sheetView>
  </sheetViews>
  <sheetFormatPr defaultRowHeight="15" x14ac:dyDescent="0.25"/>
  <cols>
    <col min="1" max="1" width="39.140625" style="66" customWidth="1"/>
    <col min="2" max="16384" width="9.140625" style="66"/>
  </cols>
  <sheetData>
    <row r="2" spans="1:2" x14ac:dyDescent="0.25">
      <c r="A2" s="66" t="s">
        <v>171</v>
      </c>
    </row>
    <row r="4" spans="1:2" ht="18.75" x14ac:dyDescent="0.25">
      <c r="A4" s="67" t="s">
        <v>173</v>
      </c>
    </row>
    <row r="5" spans="1:2" x14ac:dyDescent="0.25">
      <c r="A5" s="66" t="s">
        <v>183</v>
      </c>
    </row>
    <row r="6" spans="1:2" x14ac:dyDescent="0.25">
      <c r="A6" s="66" t="s">
        <v>253</v>
      </c>
    </row>
    <row r="8" spans="1:2" x14ac:dyDescent="0.25">
      <c r="A8" s="68" t="s">
        <v>222</v>
      </c>
    </row>
    <row r="9" spans="1:2" x14ac:dyDescent="0.25">
      <c r="A9" s="68" t="s">
        <v>228</v>
      </c>
    </row>
    <row r="10" spans="1:2" x14ac:dyDescent="0.25">
      <c r="A10" s="68" t="s">
        <v>229</v>
      </c>
    </row>
    <row r="12" spans="1:2" x14ac:dyDescent="0.25">
      <c r="A12" s="68" t="s">
        <v>223</v>
      </c>
      <c r="B12" s="66" t="s">
        <v>224</v>
      </c>
    </row>
    <row r="13" spans="1:2" x14ac:dyDescent="0.25">
      <c r="B13" s="66" t="s">
        <v>225</v>
      </c>
    </row>
    <row r="14" spans="1:2" x14ac:dyDescent="0.25">
      <c r="B14" s="66" t="s">
        <v>226</v>
      </c>
    </row>
    <row r="16" spans="1:2" x14ac:dyDescent="0.25">
      <c r="A16" s="68" t="s">
        <v>227</v>
      </c>
      <c r="B16" s="66" t="s">
        <v>224</v>
      </c>
    </row>
    <row r="17" spans="1:2" x14ac:dyDescent="0.25">
      <c r="B17" s="66" t="s">
        <v>225</v>
      </c>
    </row>
    <row r="19" spans="1:2" x14ac:dyDescent="0.25">
      <c r="A19" s="113" t="s">
        <v>182</v>
      </c>
      <c r="B19" s="66" t="s">
        <v>193</v>
      </c>
    </row>
    <row r="20" spans="1:2" x14ac:dyDescent="0.25">
      <c r="A20" s="113"/>
      <c r="B20" s="66" t="s">
        <v>194</v>
      </c>
    </row>
    <row r="21" spans="1:2" x14ac:dyDescent="0.25">
      <c r="A21" s="113"/>
      <c r="B21" s="66" t="s">
        <v>202</v>
      </c>
    </row>
    <row r="22" spans="1:2" x14ac:dyDescent="0.25">
      <c r="A22" s="65"/>
      <c r="B22" s="66" t="s">
        <v>203</v>
      </c>
    </row>
    <row r="24" spans="1:2" ht="15.75" x14ac:dyDescent="0.25">
      <c r="A24" s="69" t="s">
        <v>172</v>
      </c>
      <c r="B24" s="66" t="s">
        <v>174</v>
      </c>
    </row>
    <row r="25" spans="1:2" ht="15.75" x14ac:dyDescent="0.25">
      <c r="A25" s="69"/>
    </row>
    <row r="26" spans="1:2" ht="15.75" customHeight="1" x14ac:dyDescent="0.25">
      <c r="A26" s="112" t="s">
        <v>176</v>
      </c>
      <c r="B26" s="66" t="s">
        <v>245</v>
      </c>
    </row>
    <row r="27" spans="1:2" ht="15.75" customHeight="1" x14ac:dyDescent="0.25">
      <c r="A27" s="112"/>
      <c r="B27" s="66" t="s">
        <v>205</v>
      </c>
    </row>
    <row r="28" spans="1:2" ht="15.75" x14ac:dyDescent="0.25">
      <c r="A28" s="69"/>
    </row>
    <row r="29" spans="1:2" ht="15.75" x14ac:dyDescent="0.25">
      <c r="A29" s="69" t="s">
        <v>177</v>
      </c>
      <c r="B29" s="66" t="s">
        <v>178</v>
      </c>
    </row>
    <row r="30" spans="1:2" ht="15.75" x14ac:dyDescent="0.25">
      <c r="A30" s="69"/>
    </row>
    <row r="31" spans="1:2" ht="15.75" customHeight="1" x14ac:dyDescent="0.25">
      <c r="A31" s="112" t="s">
        <v>175</v>
      </c>
      <c r="B31" s="66" t="s">
        <v>180</v>
      </c>
    </row>
    <row r="32" spans="1:2" x14ac:dyDescent="0.25">
      <c r="A32" s="112"/>
      <c r="B32" s="66" t="s">
        <v>181</v>
      </c>
    </row>
    <row r="33" spans="1:2" ht="15.75" x14ac:dyDescent="0.25">
      <c r="A33" s="64"/>
    </row>
    <row r="34" spans="1:2" ht="15.75" x14ac:dyDescent="0.25">
      <c r="A34" s="69" t="s">
        <v>179</v>
      </c>
      <c r="B34" s="66" t="s">
        <v>204</v>
      </c>
    </row>
    <row r="35" spans="1:2" ht="15.75" x14ac:dyDescent="0.25">
      <c r="A35" s="69"/>
    </row>
    <row r="36" spans="1:2" ht="15.75" x14ac:dyDescent="0.25">
      <c r="A36" s="69" t="s">
        <v>187</v>
      </c>
      <c r="B36" s="66" t="s">
        <v>188</v>
      </c>
    </row>
    <row r="37" spans="1:2" x14ac:dyDescent="0.25">
      <c r="B37" s="66" t="s">
        <v>189</v>
      </c>
    </row>
    <row r="38" spans="1:2" x14ac:dyDescent="0.25">
      <c r="B38" s="66" t="s">
        <v>190</v>
      </c>
    </row>
    <row r="40" spans="1:2" ht="18.75" customHeight="1" x14ac:dyDescent="0.25">
      <c r="A40" s="70" t="s">
        <v>207</v>
      </c>
      <c r="B40" s="66" t="s">
        <v>191</v>
      </c>
    </row>
    <row r="41" spans="1:2" x14ac:dyDescent="0.25">
      <c r="B41" s="66" t="s">
        <v>206</v>
      </c>
    </row>
    <row r="43" spans="1:2" ht="15.75" x14ac:dyDescent="0.25">
      <c r="A43" s="69" t="s">
        <v>216</v>
      </c>
      <c r="B43" s="66" t="s">
        <v>217</v>
      </c>
    </row>
    <row r="44" spans="1:2" ht="15.75" x14ac:dyDescent="0.25">
      <c r="A44" s="69"/>
      <c r="B44" s="66" t="s">
        <v>221</v>
      </c>
    </row>
    <row r="45" spans="1:2" x14ac:dyDescent="0.25">
      <c r="B45" s="66" t="s">
        <v>198</v>
      </c>
    </row>
    <row r="46" spans="1:2" x14ac:dyDescent="0.25">
      <c r="B46" s="66" t="s">
        <v>215</v>
      </c>
    </row>
    <row r="47" spans="1:2" x14ac:dyDescent="0.25">
      <c r="B47" s="66" t="s">
        <v>197</v>
      </c>
    </row>
    <row r="48" spans="1:2" x14ac:dyDescent="0.25">
      <c r="B48" s="66" t="s">
        <v>213</v>
      </c>
    </row>
    <row r="50" spans="1:4" ht="15.75" x14ac:dyDescent="0.25">
      <c r="A50" s="69" t="s">
        <v>132</v>
      </c>
      <c r="B50" s="66" t="s">
        <v>232</v>
      </c>
    </row>
    <row r="52" spans="1:4" ht="15.75" x14ac:dyDescent="0.25">
      <c r="A52" s="69" t="s">
        <v>101</v>
      </c>
      <c r="B52" s="66" t="s">
        <v>233</v>
      </c>
    </row>
    <row r="53" spans="1:4" x14ac:dyDescent="0.25">
      <c r="B53" s="66" t="s">
        <v>234</v>
      </c>
    </row>
    <row r="55" spans="1:4" ht="30" x14ac:dyDescent="0.25">
      <c r="A55" s="86" t="s">
        <v>246</v>
      </c>
      <c r="B55" s="66" t="s">
        <v>247</v>
      </c>
      <c r="D55" s="71"/>
    </row>
    <row r="56" spans="1:4" x14ac:dyDescent="0.25">
      <c r="B56" s="66" t="s">
        <v>248</v>
      </c>
      <c r="D56" s="71"/>
    </row>
    <row r="57" spans="1:4" x14ac:dyDescent="0.25">
      <c r="D57" s="71"/>
    </row>
    <row r="58" spans="1:4" ht="45" x14ac:dyDescent="0.25">
      <c r="A58" s="86" t="s">
        <v>249</v>
      </c>
      <c r="B58" s="66" t="s">
        <v>250</v>
      </c>
      <c r="D58" s="71"/>
    </row>
    <row r="59" spans="1:4" x14ac:dyDescent="0.25">
      <c r="D59" s="71"/>
    </row>
    <row r="60" spans="1:4" x14ac:dyDescent="0.25">
      <c r="A60" s="68" t="s">
        <v>264</v>
      </c>
      <c r="B60" s="66" t="s">
        <v>265</v>
      </c>
      <c r="D60" s="71"/>
    </row>
  </sheetData>
  <sheetProtection password="EAA2" sheet="1" objects="1" scenarios="1"/>
  <mergeCells count="3">
    <mergeCell ref="A31:A32"/>
    <mergeCell ref="A19:A21"/>
    <mergeCell ref="A26:A27"/>
  </mergeCells>
  <pageMargins left="0.7" right="0.7" top="0.75" bottom="0.75" header="0.3" footer="0.3"/>
  <pageSetup orientation="portrait" r:id="rId1"/>
  <headerFooter>
    <oddFooter>&amp;C&amp;"arial,Regular"&amp;10&amp;KE36C0AXILINX INTERNAL</oddFooter>
    <evenFooter>&amp;C&amp;"arial,Regular"&amp;10&amp;KE36C0AXILINX INTERNAL</evenFooter>
    <firstFooter>&amp;C&amp;"arial,Regular"&amp;10&amp;KE36C0AXILINX INTERNAL</first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E6"/>
  <sheetViews>
    <sheetView zoomScale="120" zoomScaleNormal="120" workbookViewId="0">
      <selection activeCell="C9" sqref="C9"/>
    </sheetView>
  </sheetViews>
  <sheetFormatPr defaultRowHeight="15" x14ac:dyDescent="0.25"/>
  <cols>
    <col min="1" max="1" width="14.7109375" customWidth="1"/>
    <col min="2" max="2" width="25.85546875" customWidth="1"/>
    <col min="3" max="3" width="26.28515625" customWidth="1"/>
    <col min="4" max="4" width="20.42578125" customWidth="1"/>
    <col min="5" max="5" width="21.140625" customWidth="1"/>
  </cols>
  <sheetData>
    <row r="1" spans="1:5" ht="15.75" thickBot="1" x14ac:dyDescent="0.3"/>
    <row r="2" spans="1:5" ht="15" customHeight="1" thickBot="1" x14ac:dyDescent="0.3">
      <c r="A2" s="14" t="s">
        <v>92</v>
      </c>
      <c r="B2" s="14" t="s">
        <v>93</v>
      </c>
      <c r="C2" s="15" t="s">
        <v>99</v>
      </c>
      <c r="D2" s="14" t="s">
        <v>94</v>
      </c>
      <c r="E2" s="14" t="s">
        <v>95</v>
      </c>
    </row>
    <row r="3" spans="1:5" ht="16.5" thickBot="1" x14ac:dyDescent="0.3">
      <c r="A3" s="17" t="s">
        <v>7</v>
      </c>
      <c r="B3" s="16">
        <v>98.4</v>
      </c>
      <c r="C3" s="16">
        <v>16</v>
      </c>
      <c r="D3" s="16">
        <v>100</v>
      </c>
      <c r="E3" s="16">
        <v>24</v>
      </c>
    </row>
    <row r="4" spans="1:5" ht="16.5" thickBot="1" x14ac:dyDescent="0.3">
      <c r="A4" s="17" t="s">
        <v>96</v>
      </c>
      <c r="B4" s="16">
        <v>72</v>
      </c>
      <c r="C4" s="16">
        <v>12</v>
      </c>
      <c r="D4" s="16">
        <v>74</v>
      </c>
      <c r="E4" s="16">
        <v>20</v>
      </c>
    </row>
    <row r="5" spans="1:5" ht="16.5" thickBot="1" x14ac:dyDescent="0.3">
      <c r="A5" s="17" t="s">
        <v>97</v>
      </c>
      <c r="B5" s="16">
        <v>114</v>
      </c>
      <c r="C5" s="16">
        <v>52</v>
      </c>
      <c r="D5" s="16">
        <v>120</v>
      </c>
      <c r="E5" s="16">
        <v>60</v>
      </c>
    </row>
    <row r="6" spans="1:5" ht="16.5" thickBot="1" x14ac:dyDescent="0.3">
      <c r="A6" s="17" t="s">
        <v>98</v>
      </c>
      <c r="B6" s="16">
        <v>92</v>
      </c>
      <c r="C6" s="16">
        <v>50</v>
      </c>
      <c r="D6" s="16">
        <v>92</v>
      </c>
      <c r="E6" s="16">
        <v>56</v>
      </c>
    </row>
  </sheetData>
  <sheetProtection password="EAA2" sheet="1" objects="1" scenarios="1"/>
  <pageMargins left="0.7" right="0.7" top="0.75" bottom="0.75" header="0.3" footer="0.3"/>
  <pageSetup orientation="portrait" r:id="rId1"/>
  <headerFooter>
    <oddFooter>&amp;C&amp;"arial,Regular"&amp;10&amp;KE36C0AXILINX INTERNAL</oddFooter>
    <evenFooter>&amp;C&amp;"arial,Regular"&amp;10&amp;KE36C0AXILINX INTERNAL</evenFooter>
    <firstFooter>&amp;C&amp;"arial,Regular"&amp;10&amp;KE36C0AXILINX INTERNAL</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2:T35"/>
  <sheetViews>
    <sheetView topLeftCell="A10" workbookViewId="0">
      <selection activeCell="F21" sqref="F21"/>
    </sheetView>
  </sheetViews>
  <sheetFormatPr defaultRowHeight="15" x14ac:dyDescent="0.25"/>
  <cols>
    <col min="1" max="1" width="15.42578125" style="3" customWidth="1"/>
    <col min="2" max="2" width="14.7109375" style="3" customWidth="1"/>
    <col min="3" max="3" width="14.42578125" style="3" customWidth="1"/>
    <col min="4" max="4" width="15.7109375" style="3" customWidth="1"/>
    <col min="5" max="5" width="12.28515625" style="3" customWidth="1"/>
    <col min="6" max="6" width="13.140625" style="3" customWidth="1"/>
    <col min="7" max="9" width="15.42578125" style="3" customWidth="1"/>
    <col min="10" max="10" width="41.5703125" style="3" customWidth="1"/>
    <col min="11" max="11" width="31.140625" style="3" customWidth="1"/>
    <col min="12" max="12" width="25.5703125" style="3" customWidth="1"/>
    <col min="13" max="13" width="15.42578125" style="3" customWidth="1"/>
    <col min="14" max="14" width="53.28515625" style="3" customWidth="1"/>
    <col min="15" max="16" width="9.140625" style="3"/>
    <col min="17" max="17" width="23.28515625" style="3" customWidth="1"/>
    <col min="18" max="18" width="26.7109375" style="3" customWidth="1"/>
    <col min="19" max="19" width="28.28515625" style="3" customWidth="1"/>
    <col min="20" max="16384" width="9.140625" style="3"/>
  </cols>
  <sheetData>
    <row r="2" spans="1:14" ht="20.25" customHeight="1" x14ac:dyDescent="0.25">
      <c r="A2" s="77" t="s">
        <v>22</v>
      </c>
      <c r="B2" s="114" t="s">
        <v>192</v>
      </c>
      <c r="C2" s="115"/>
      <c r="D2" s="114" t="s">
        <v>29</v>
      </c>
      <c r="E2" s="115"/>
      <c r="F2" s="114" t="s">
        <v>30</v>
      </c>
      <c r="G2" s="115"/>
      <c r="H2" s="114" t="s">
        <v>31</v>
      </c>
      <c r="I2" s="115"/>
      <c r="J2" s="77" t="s">
        <v>24</v>
      </c>
    </row>
    <row r="3" spans="1:14" ht="33" customHeight="1" x14ac:dyDescent="0.25">
      <c r="A3" s="77"/>
      <c r="B3" s="114" t="s">
        <v>237</v>
      </c>
      <c r="C3" s="115"/>
      <c r="D3" s="114" t="s">
        <v>237</v>
      </c>
      <c r="E3" s="115"/>
      <c r="F3" s="114" t="s">
        <v>237</v>
      </c>
      <c r="G3" s="115"/>
      <c r="H3" s="114" t="s">
        <v>237</v>
      </c>
      <c r="I3" s="115"/>
      <c r="J3" s="77"/>
    </row>
    <row r="4" spans="1:14" x14ac:dyDescent="0.25">
      <c r="A4" s="77" t="s">
        <v>25</v>
      </c>
      <c r="B4" s="4" t="s">
        <v>26</v>
      </c>
      <c r="C4" s="4" t="s">
        <v>27</v>
      </c>
      <c r="D4" s="4" t="s">
        <v>26</v>
      </c>
      <c r="E4" s="4" t="s">
        <v>27</v>
      </c>
      <c r="F4" s="4" t="s">
        <v>26</v>
      </c>
      <c r="G4" s="4" t="s">
        <v>27</v>
      </c>
      <c r="H4" s="4" t="s">
        <v>26</v>
      </c>
      <c r="I4" s="4" t="s">
        <v>27</v>
      </c>
      <c r="J4" s="1"/>
    </row>
    <row r="5" spans="1:14" ht="35.25" customHeight="1" x14ac:dyDescent="0.25">
      <c r="A5" s="78" t="s">
        <v>23</v>
      </c>
      <c r="B5" s="2">
        <v>22.3</v>
      </c>
      <c r="C5" s="4">
        <v>7.67</v>
      </c>
      <c r="D5" s="80">
        <v>21.06</v>
      </c>
      <c r="E5" s="80">
        <v>7.06</v>
      </c>
      <c r="F5" s="80">
        <v>19.2</v>
      </c>
      <c r="G5" s="80">
        <v>4.62</v>
      </c>
      <c r="H5" s="80">
        <v>17.100000000000001</v>
      </c>
      <c r="I5" s="80">
        <v>2.64</v>
      </c>
      <c r="J5" s="1" t="s">
        <v>238</v>
      </c>
    </row>
    <row r="6" spans="1:14" ht="33.75" customHeight="1" x14ac:dyDescent="0.25">
      <c r="A6" s="78" t="s">
        <v>23</v>
      </c>
      <c r="B6" s="80">
        <v>27.77</v>
      </c>
      <c r="C6" s="80">
        <v>9.8800000000000008</v>
      </c>
      <c r="D6" s="74"/>
      <c r="E6" s="74"/>
      <c r="F6" s="74"/>
      <c r="G6" s="74"/>
      <c r="H6" s="74"/>
      <c r="I6" s="74"/>
      <c r="J6" s="1" t="s">
        <v>239</v>
      </c>
    </row>
    <row r="7" spans="1:14" ht="61.5" customHeight="1" x14ac:dyDescent="0.25">
      <c r="A7" s="78" t="s">
        <v>195</v>
      </c>
      <c r="B7" s="2">
        <v>18.3</v>
      </c>
      <c r="C7" s="2">
        <v>7.9</v>
      </c>
      <c r="D7" s="80">
        <v>17.77</v>
      </c>
      <c r="E7" s="80">
        <v>7.44</v>
      </c>
      <c r="F7" s="80">
        <v>16.600000000000001</v>
      </c>
      <c r="G7" s="80">
        <v>4.8</v>
      </c>
      <c r="H7" s="80">
        <v>14.9</v>
      </c>
      <c r="I7" s="80">
        <v>2.69</v>
      </c>
      <c r="J7" s="1" t="s">
        <v>240</v>
      </c>
    </row>
    <row r="8" spans="1:14" ht="76.5" customHeight="1" x14ac:dyDescent="0.25">
      <c r="A8" s="78" t="s">
        <v>196</v>
      </c>
      <c r="B8" s="2">
        <v>21.6</v>
      </c>
      <c r="C8" s="2">
        <v>8.9</v>
      </c>
      <c r="D8" s="80">
        <v>21.3</v>
      </c>
      <c r="E8" s="80">
        <v>8.48</v>
      </c>
      <c r="F8" s="80">
        <v>19.86</v>
      </c>
      <c r="G8" s="80">
        <v>5.21</v>
      </c>
      <c r="H8" s="80">
        <v>17.64</v>
      </c>
      <c r="I8" s="80">
        <v>2.83</v>
      </c>
      <c r="J8" s="1" t="s">
        <v>240</v>
      </c>
    </row>
    <row r="9" spans="1:14" ht="32.25" customHeight="1" x14ac:dyDescent="0.25">
      <c r="A9" s="60"/>
      <c r="B9" s="60"/>
      <c r="C9" s="60"/>
      <c r="D9" s="60"/>
      <c r="E9" s="60"/>
      <c r="F9" s="60"/>
      <c r="G9" s="60"/>
      <c r="H9" s="60"/>
      <c r="I9" s="60"/>
      <c r="J9" s="60"/>
      <c r="K9" s="60"/>
      <c r="L9" s="60"/>
      <c r="M9" s="60"/>
      <c r="N9" s="60"/>
    </row>
    <row r="10" spans="1:14" ht="49.5" customHeight="1" x14ac:dyDescent="0.25">
      <c r="A10" s="60"/>
      <c r="B10" s="60"/>
      <c r="C10" s="60"/>
      <c r="D10" s="60"/>
      <c r="E10" s="60"/>
      <c r="F10" s="60"/>
      <c r="G10" s="60"/>
      <c r="H10" s="60"/>
      <c r="I10" s="60"/>
      <c r="J10" s="60"/>
      <c r="K10" s="60"/>
      <c r="L10" s="60"/>
      <c r="M10" s="60"/>
      <c r="N10" s="60"/>
    </row>
    <row r="11" spans="1:14" ht="43.5" customHeight="1" x14ac:dyDescent="0.35">
      <c r="F11" s="60"/>
      <c r="G11" s="60"/>
      <c r="H11" s="60"/>
      <c r="I11" s="60"/>
      <c r="J11" s="10" t="s">
        <v>87</v>
      </c>
      <c r="K11"/>
      <c r="L11"/>
      <c r="M11" s="60"/>
      <c r="N11" s="60"/>
    </row>
    <row r="12" spans="1:14" ht="32.25" customHeight="1" x14ac:dyDescent="0.25">
      <c r="A12" s="77" t="s">
        <v>22</v>
      </c>
      <c r="B12" s="77" t="s">
        <v>199</v>
      </c>
      <c r="C12" s="77" t="s">
        <v>200</v>
      </c>
      <c r="D12" s="77" t="s">
        <v>201</v>
      </c>
      <c r="E12" s="12" t="s">
        <v>214</v>
      </c>
      <c r="F12" s="60"/>
      <c r="G12" s="60"/>
      <c r="H12" s="60"/>
      <c r="J12" s="4"/>
      <c r="K12" s="77" t="s">
        <v>28</v>
      </c>
      <c r="L12" s="77" t="s">
        <v>9</v>
      </c>
    </row>
    <row r="13" spans="1:14" ht="33" customHeight="1" x14ac:dyDescent="0.25">
      <c r="A13" s="77" t="s">
        <v>23</v>
      </c>
      <c r="B13" s="2">
        <v>1.577</v>
      </c>
      <c r="C13" s="80">
        <v>3.2869999999999999</v>
      </c>
      <c r="D13" s="80">
        <v>2.21</v>
      </c>
      <c r="E13" s="82">
        <f>B13+C13+D13</f>
        <v>7.0739999999999998</v>
      </c>
      <c r="F13" s="60"/>
      <c r="G13" s="60"/>
      <c r="H13" s="60"/>
      <c r="J13" s="77" t="s">
        <v>66</v>
      </c>
      <c r="K13" s="4" t="s">
        <v>67</v>
      </c>
      <c r="L13" s="4" t="s">
        <v>68</v>
      </c>
    </row>
    <row r="14" spans="1:14" ht="31.5" customHeight="1" x14ac:dyDescent="0.25">
      <c r="A14" s="77" t="s">
        <v>195</v>
      </c>
      <c r="B14" s="2">
        <v>1.48</v>
      </c>
      <c r="C14" s="80">
        <v>2.7770000000000001</v>
      </c>
      <c r="D14" s="80">
        <v>2.1669999999999998</v>
      </c>
      <c r="E14" s="82">
        <f t="shared" ref="E14:E15" si="0">B14+C14+D14</f>
        <v>6.4239999999999995</v>
      </c>
      <c r="J14" s="77" t="s">
        <v>44</v>
      </c>
      <c r="K14" s="4" t="s">
        <v>69</v>
      </c>
      <c r="L14" s="4" t="s">
        <v>69</v>
      </c>
    </row>
    <row r="15" spans="1:14" ht="30" x14ac:dyDescent="0.25">
      <c r="A15" s="77" t="s">
        <v>196</v>
      </c>
      <c r="B15" s="2">
        <v>1.1850000000000001</v>
      </c>
      <c r="C15" s="80">
        <v>3.0350000000000001</v>
      </c>
      <c r="D15" s="80">
        <v>2.218</v>
      </c>
      <c r="E15" s="82">
        <f t="shared" si="0"/>
        <v>6.4380000000000006</v>
      </c>
      <c r="J15" s="77" t="s">
        <v>70</v>
      </c>
      <c r="K15" s="4" t="s">
        <v>71</v>
      </c>
      <c r="L15" s="4" t="s">
        <v>72</v>
      </c>
    </row>
    <row r="16" spans="1:14" ht="34.5" customHeight="1" x14ac:dyDescent="0.25">
      <c r="A16" s="3" t="s">
        <v>198</v>
      </c>
      <c r="E16" s="79"/>
      <c r="J16" s="77" t="s">
        <v>73</v>
      </c>
      <c r="K16" s="4" t="s">
        <v>74</v>
      </c>
      <c r="L16" s="4" t="s">
        <v>74</v>
      </c>
    </row>
    <row r="17" spans="1:20" ht="21" customHeight="1" x14ac:dyDescent="0.25">
      <c r="A17" s="3" t="s">
        <v>215</v>
      </c>
      <c r="J17" s="77" t="s">
        <v>75</v>
      </c>
      <c r="K17" s="4" t="s">
        <v>76</v>
      </c>
      <c r="L17" s="4" t="s">
        <v>77</v>
      </c>
    </row>
    <row r="18" spans="1:20" ht="48.75" customHeight="1" x14ac:dyDescent="0.25">
      <c r="A18" s="3" t="s">
        <v>197</v>
      </c>
      <c r="J18" s="12" t="s">
        <v>22</v>
      </c>
      <c r="K18" s="4" t="s">
        <v>78</v>
      </c>
      <c r="L18" s="4" t="s">
        <v>79</v>
      </c>
    </row>
    <row r="19" spans="1:20" ht="32.25" customHeight="1" x14ac:dyDescent="0.25">
      <c r="A19" s="3" t="s">
        <v>213</v>
      </c>
      <c r="J19" s="77" t="s">
        <v>80</v>
      </c>
      <c r="K19" s="11" t="s">
        <v>81</v>
      </c>
      <c r="L19" s="4" t="s">
        <v>82</v>
      </c>
    </row>
    <row r="20" spans="1:20" ht="32.25" customHeight="1" x14ac:dyDescent="0.25">
      <c r="J20" s="77" t="s">
        <v>83</v>
      </c>
      <c r="K20" s="4" t="s">
        <v>84</v>
      </c>
      <c r="L20" s="4"/>
    </row>
    <row r="21" spans="1:20" ht="48" customHeight="1" x14ac:dyDescent="0.25">
      <c r="J21" s="77" t="s">
        <v>85</v>
      </c>
      <c r="K21" s="4" t="s">
        <v>86</v>
      </c>
      <c r="L21" s="4" t="s">
        <v>86</v>
      </c>
    </row>
    <row r="25" spans="1:20" ht="34.5" customHeight="1" x14ac:dyDescent="0.25"/>
    <row r="30" spans="1:20" x14ac:dyDescent="0.25">
      <c r="A30" s="61"/>
      <c r="B30" s="61"/>
      <c r="C30" s="61"/>
      <c r="D30" s="61"/>
    </row>
    <row r="31" spans="1:20" ht="45" x14ac:dyDescent="0.25">
      <c r="R31" s="77" t="s">
        <v>75</v>
      </c>
      <c r="S31" s="4" t="s">
        <v>76</v>
      </c>
      <c r="T31" s="4" t="s">
        <v>77</v>
      </c>
    </row>
    <row r="32" spans="1:20" ht="195" x14ac:dyDescent="0.25">
      <c r="R32" s="12" t="s">
        <v>22</v>
      </c>
      <c r="S32" s="4" t="s">
        <v>78</v>
      </c>
      <c r="T32" s="4" t="s">
        <v>79</v>
      </c>
    </row>
    <row r="33" spans="18:20" ht="135" x14ac:dyDescent="0.25">
      <c r="R33" s="77" t="s">
        <v>80</v>
      </c>
      <c r="S33" s="11" t="s">
        <v>81</v>
      </c>
      <c r="T33" s="4" t="s">
        <v>82</v>
      </c>
    </row>
    <row r="34" spans="18:20" ht="30" x14ac:dyDescent="0.25">
      <c r="R34" s="77" t="s">
        <v>83</v>
      </c>
      <c r="S34" s="4" t="s">
        <v>84</v>
      </c>
      <c r="T34" s="4"/>
    </row>
    <row r="35" spans="18:20" ht="135" x14ac:dyDescent="0.25">
      <c r="R35" s="77" t="s">
        <v>85</v>
      </c>
      <c r="S35" s="4" t="s">
        <v>86</v>
      </c>
      <c r="T35" s="4" t="s">
        <v>86</v>
      </c>
    </row>
  </sheetData>
  <sheetProtection password="EAA2" sheet="1" objects="1" scenarios="1"/>
  <mergeCells count="8">
    <mergeCell ref="F3:G3"/>
    <mergeCell ref="H3:I3"/>
    <mergeCell ref="B3:C3"/>
    <mergeCell ref="H2:I2"/>
    <mergeCell ref="D3:E3"/>
    <mergeCell ref="B2:C2"/>
    <mergeCell ref="D2:E2"/>
    <mergeCell ref="F2:G2"/>
  </mergeCells>
  <pageMargins left="0.7" right="0.7" top="0.75" bottom="0.75" header="0.3" footer="0.3"/>
  <pageSetup orientation="portrait" r:id="rId1"/>
  <headerFooter>
    <oddFooter>&amp;C&amp;"arial,Regular"&amp;10&amp;KE36C0AXILINX INTERNAL</oddFooter>
    <evenFooter>&amp;C&amp;"arial,Regular"&amp;10&amp;KE36C0AXILINX INTERNAL</evenFooter>
    <firstFooter>&amp;C&amp;"arial,Regular"&amp;10&amp;KE36C0AXILINX INTERNAL</first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2:I19"/>
  <sheetViews>
    <sheetView workbookViewId="0">
      <selection activeCell="E9" sqref="E9"/>
    </sheetView>
  </sheetViews>
  <sheetFormatPr defaultRowHeight="15" x14ac:dyDescent="0.25"/>
  <cols>
    <col min="1" max="1" width="15.42578125" customWidth="1"/>
    <col min="2" max="2" width="14.7109375" customWidth="1"/>
    <col min="3" max="3" width="14.42578125" customWidth="1"/>
    <col min="4" max="4" width="64.85546875" customWidth="1"/>
    <col min="5" max="5" width="13.5703125" customWidth="1"/>
    <col min="6" max="6" width="14.5703125" customWidth="1"/>
    <col min="7" max="7" width="15.42578125" customWidth="1"/>
    <col min="8" max="8" width="22.140625" customWidth="1"/>
    <col min="9" max="9" width="45.5703125" customWidth="1"/>
    <col min="10" max="10" width="46" customWidth="1"/>
    <col min="11" max="11" width="23.28515625" customWidth="1"/>
    <col min="12" max="12" width="26.7109375" customWidth="1"/>
    <col min="13" max="13" width="28.28515625" customWidth="1"/>
  </cols>
  <sheetData>
    <row r="2" spans="1:9" ht="23.25" customHeight="1" x14ac:dyDescent="0.35">
      <c r="A2" s="77" t="s">
        <v>22</v>
      </c>
      <c r="B2" s="114" t="s">
        <v>192</v>
      </c>
      <c r="C2" s="115"/>
      <c r="D2" s="77" t="s">
        <v>24</v>
      </c>
      <c r="E2" s="83"/>
      <c r="G2" s="10" t="s">
        <v>87</v>
      </c>
    </row>
    <row r="3" spans="1:9" ht="33" customHeight="1" x14ac:dyDescent="0.25">
      <c r="A3" s="77"/>
      <c r="B3" s="114" t="s">
        <v>237</v>
      </c>
      <c r="C3" s="115"/>
      <c r="D3" s="77"/>
      <c r="G3" s="4"/>
      <c r="H3" s="72" t="s">
        <v>28</v>
      </c>
      <c r="I3" s="72" t="s">
        <v>9</v>
      </c>
    </row>
    <row r="4" spans="1:9" ht="47.25" customHeight="1" x14ac:dyDescent="0.25">
      <c r="A4" s="77" t="s">
        <v>25</v>
      </c>
      <c r="B4" s="4" t="s">
        <v>26</v>
      </c>
      <c r="C4" s="4" t="s">
        <v>27</v>
      </c>
      <c r="D4" s="1"/>
      <c r="G4" s="72" t="s">
        <v>66</v>
      </c>
      <c r="H4" s="4" t="s">
        <v>67</v>
      </c>
      <c r="I4" s="4" t="s">
        <v>68</v>
      </c>
    </row>
    <row r="5" spans="1:9" ht="33.75" customHeight="1" x14ac:dyDescent="0.25">
      <c r="A5" s="78" t="s">
        <v>23</v>
      </c>
      <c r="B5" s="2">
        <v>22.3</v>
      </c>
      <c r="C5" s="4">
        <v>7.67</v>
      </c>
      <c r="D5" s="1" t="s">
        <v>238</v>
      </c>
      <c r="E5" s="60"/>
      <c r="G5" s="72" t="s">
        <v>44</v>
      </c>
      <c r="H5" s="4" t="s">
        <v>69</v>
      </c>
      <c r="I5" s="4" t="s">
        <v>69</v>
      </c>
    </row>
    <row r="6" spans="1:9" ht="33.75" customHeight="1" x14ac:dyDescent="0.25">
      <c r="A6" s="78" t="s">
        <v>23</v>
      </c>
      <c r="B6" s="80">
        <v>27.77</v>
      </c>
      <c r="C6" s="80">
        <v>9.8800000000000008</v>
      </c>
      <c r="D6" s="1" t="s">
        <v>239</v>
      </c>
      <c r="E6" s="60"/>
      <c r="G6" s="72" t="s">
        <v>70</v>
      </c>
      <c r="H6" s="4" t="s">
        <v>71</v>
      </c>
      <c r="I6" s="4" t="s">
        <v>72</v>
      </c>
    </row>
    <row r="7" spans="1:9" ht="64.5" customHeight="1" x14ac:dyDescent="0.25">
      <c r="A7" s="78" t="s">
        <v>195</v>
      </c>
      <c r="B7" s="2">
        <v>18.3</v>
      </c>
      <c r="C7" s="2">
        <v>7.9</v>
      </c>
      <c r="D7" s="1" t="s">
        <v>240</v>
      </c>
      <c r="E7" s="60"/>
      <c r="G7" s="72" t="s">
        <v>73</v>
      </c>
      <c r="H7" s="4" t="s">
        <v>74</v>
      </c>
      <c r="I7" s="4" t="s">
        <v>74</v>
      </c>
    </row>
    <row r="8" spans="1:9" ht="32.25" customHeight="1" x14ac:dyDescent="0.25">
      <c r="A8" s="78" t="s">
        <v>196</v>
      </c>
      <c r="B8" s="2">
        <v>21.6</v>
      </c>
      <c r="C8" s="2">
        <v>8.9</v>
      </c>
      <c r="D8" s="1" t="s">
        <v>240</v>
      </c>
      <c r="E8" s="60"/>
      <c r="G8" s="72" t="s">
        <v>75</v>
      </c>
      <c r="H8" s="4" t="s">
        <v>76</v>
      </c>
      <c r="I8" s="4" t="s">
        <v>77</v>
      </c>
    </row>
    <row r="9" spans="1:9" ht="49.5" customHeight="1" x14ac:dyDescent="0.25">
      <c r="A9" s="60"/>
      <c r="B9" s="60"/>
      <c r="C9" s="60"/>
      <c r="D9" s="60"/>
      <c r="E9" s="60"/>
      <c r="F9" s="60"/>
      <c r="G9" s="12" t="s">
        <v>22</v>
      </c>
      <c r="H9" s="4" t="s">
        <v>78</v>
      </c>
      <c r="I9" s="4" t="s">
        <v>79</v>
      </c>
    </row>
    <row r="10" spans="1:9" ht="34.5" customHeight="1" x14ac:dyDescent="0.25">
      <c r="A10" s="77" t="s">
        <v>241</v>
      </c>
      <c r="B10" s="4">
        <v>99.87</v>
      </c>
      <c r="C10" s="1"/>
      <c r="D10" s="81" t="s">
        <v>242</v>
      </c>
      <c r="E10" s="84"/>
      <c r="G10" s="72" t="s">
        <v>80</v>
      </c>
      <c r="H10" s="11" t="s">
        <v>81</v>
      </c>
      <c r="I10" s="4" t="s">
        <v>82</v>
      </c>
    </row>
    <row r="11" spans="1:9" ht="32.25" customHeight="1" x14ac:dyDescent="0.25">
      <c r="G11" s="72" t="s">
        <v>83</v>
      </c>
      <c r="H11" s="4" t="s">
        <v>84</v>
      </c>
      <c r="I11" s="4"/>
    </row>
    <row r="12" spans="1:9" ht="33" customHeight="1" x14ac:dyDescent="0.25">
      <c r="A12" s="77" t="s">
        <v>22</v>
      </c>
      <c r="B12" s="77" t="s">
        <v>200</v>
      </c>
      <c r="C12" s="77" t="s">
        <v>201</v>
      </c>
      <c r="D12" s="77" t="s">
        <v>243</v>
      </c>
      <c r="G12" s="72" t="s">
        <v>85</v>
      </c>
      <c r="H12" s="4" t="s">
        <v>86</v>
      </c>
      <c r="I12" s="4" t="s">
        <v>86</v>
      </c>
    </row>
    <row r="13" spans="1:9" ht="31.5" customHeight="1" x14ac:dyDescent="0.25">
      <c r="A13" s="77" t="s">
        <v>23</v>
      </c>
      <c r="B13" s="80">
        <v>3.2869999999999999</v>
      </c>
      <c r="C13" s="80">
        <v>2.21</v>
      </c>
      <c r="D13" s="82">
        <f>B13+C13</f>
        <v>5.4969999999999999</v>
      </c>
    </row>
    <row r="14" spans="1:9" ht="30" x14ac:dyDescent="0.25">
      <c r="A14" s="77" t="s">
        <v>195</v>
      </c>
      <c r="B14" s="80">
        <v>2.7770000000000001</v>
      </c>
      <c r="C14" s="80">
        <v>2.1669999999999998</v>
      </c>
      <c r="D14" s="82">
        <f t="shared" ref="D14:D15" si="0">B14+C14</f>
        <v>4.944</v>
      </c>
    </row>
    <row r="15" spans="1:9" ht="30" x14ac:dyDescent="0.25">
      <c r="A15" s="77" t="s">
        <v>196</v>
      </c>
      <c r="B15" s="80">
        <v>3.0350000000000001</v>
      </c>
      <c r="C15" s="80">
        <v>2.218</v>
      </c>
      <c r="D15" s="82">
        <f t="shared" si="0"/>
        <v>5.2530000000000001</v>
      </c>
    </row>
    <row r="16" spans="1:9" x14ac:dyDescent="0.25">
      <c r="A16" s="85" t="s">
        <v>244</v>
      </c>
      <c r="B16" s="3"/>
      <c r="C16" s="3"/>
      <c r="D16" s="3"/>
      <c r="E16" s="79"/>
    </row>
    <row r="17" spans="1:5" x14ac:dyDescent="0.25">
      <c r="A17" s="3" t="s">
        <v>215</v>
      </c>
      <c r="B17" s="3"/>
      <c r="C17" s="3"/>
      <c r="D17" s="3"/>
      <c r="E17" s="3"/>
    </row>
    <row r="18" spans="1:5" x14ac:dyDescent="0.25">
      <c r="A18" s="3" t="s">
        <v>197</v>
      </c>
      <c r="B18" s="3"/>
      <c r="C18" s="3"/>
      <c r="D18" s="3"/>
      <c r="E18" s="3"/>
    </row>
    <row r="19" spans="1:5" x14ac:dyDescent="0.25">
      <c r="A19" s="3" t="s">
        <v>213</v>
      </c>
      <c r="B19" s="3"/>
      <c r="C19" s="3"/>
      <c r="D19" s="3"/>
      <c r="E19" s="3"/>
    </row>
  </sheetData>
  <sheetProtection password="EAA2" sheet="1" objects="1" scenarios="1"/>
  <mergeCells count="2">
    <mergeCell ref="B3:C3"/>
    <mergeCell ref="B2:C2"/>
  </mergeCells>
  <pageMargins left="0.7" right="0.7" top="0.75" bottom="0.75" header="0.3" footer="0.3"/>
  <pageSetup orientation="portrait" r:id="rId1"/>
  <headerFooter>
    <oddFooter>&amp;C&amp;"arial,Regular"&amp;10&amp;KE36C0AXILINX INTERNAL</oddFooter>
    <evenFooter>&amp;C&amp;"arial,Regular"&amp;10&amp;KE36C0AXILINX INTERNAL</evenFooter>
    <firstFooter>&amp;C&amp;"arial,Regular"&amp;10&amp;KE36C0AXILINX INTERNAL</first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J48"/>
  <sheetViews>
    <sheetView workbookViewId="0">
      <selection activeCell="D24" sqref="D24"/>
    </sheetView>
  </sheetViews>
  <sheetFormatPr defaultRowHeight="15" x14ac:dyDescent="0.25"/>
  <cols>
    <col min="1" max="1" width="26.28515625" customWidth="1"/>
    <col min="2" max="2" width="38.5703125" customWidth="1"/>
    <col min="3" max="3" width="31.5703125" customWidth="1"/>
    <col min="4" max="4" width="29.140625" customWidth="1"/>
    <col min="5" max="5" width="19.140625" customWidth="1"/>
    <col min="6" max="6" width="16.7109375" customWidth="1"/>
    <col min="7" max="7" width="14" customWidth="1"/>
    <col min="8" max="8" width="10.5703125" customWidth="1"/>
    <col min="9" max="9" width="30.85546875" customWidth="1"/>
    <col min="10" max="10" width="29.42578125" customWidth="1"/>
    <col min="11" max="11" width="14.28515625" customWidth="1"/>
    <col min="12" max="12" width="20.140625" customWidth="1"/>
  </cols>
  <sheetData>
    <row r="1" spans="1:10" ht="18.75" x14ac:dyDescent="0.3">
      <c r="A1" s="47" t="s">
        <v>130</v>
      </c>
    </row>
    <row r="2" spans="1:10" ht="33" customHeight="1" x14ac:dyDescent="0.25">
      <c r="A2" s="13"/>
      <c r="B2" s="43" t="s">
        <v>235</v>
      </c>
      <c r="C2" s="43" t="s">
        <v>236</v>
      </c>
      <c r="D2" s="43" t="s">
        <v>36</v>
      </c>
      <c r="E2" s="44" t="s">
        <v>147</v>
      </c>
    </row>
    <row r="3" spans="1:10" ht="23.25" x14ac:dyDescent="0.35">
      <c r="A3" s="43" t="s">
        <v>37</v>
      </c>
      <c r="B3" s="13">
        <v>26.72</v>
      </c>
      <c r="C3" s="75">
        <v>27.08</v>
      </c>
      <c r="D3" s="13">
        <v>100</v>
      </c>
      <c r="E3" s="2" t="s">
        <v>127</v>
      </c>
      <c r="H3" s="118" t="s">
        <v>32</v>
      </c>
      <c r="I3" s="119"/>
    </row>
    <row r="4" spans="1:10" x14ac:dyDescent="0.25">
      <c r="A4" s="43" t="s">
        <v>38</v>
      </c>
      <c r="B4" s="13">
        <v>38.39</v>
      </c>
      <c r="C4" s="75">
        <v>38.299999999999997</v>
      </c>
      <c r="D4" s="13">
        <v>100</v>
      </c>
      <c r="E4" s="2" t="s">
        <v>127</v>
      </c>
      <c r="H4" s="87"/>
      <c r="I4" s="8" t="s">
        <v>42</v>
      </c>
      <c r="J4" s="5" t="s">
        <v>43</v>
      </c>
    </row>
    <row r="5" spans="1:10" ht="18" customHeight="1" x14ac:dyDescent="0.25">
      <c r="A5" s="43" t="s">
        <v>120</v>
      </c>
      <c r="B5" s="13">
        <v>26.72</v>
      </c>
      <c r="C5" s="75">
        <v>27.08</v>
      </c>
      <c r="D5" s="13">
        <v>100</v>
      </c>
      <c r="E5" s="2" t="s">
        <v>127</v>
      </c>
      <c r="I5" s="8" t="s">
        <v>44</v>
      </c>
      <c r="J5" s="5" t="s">
        <v>45</v>
      </c>
    </row>
    <row r="6" spans="1:10" x14ac:dyDescent="0.25">
      <c r="A6" s="43" t="s">
        <v>119</v>
      </c>
      <c r="B6" s="13">
        <v>28.82</v>
      </c>
      <c r="C6" s="75">
        <v>29</v>
      </c>
      <c r="D6" s="13">
        <v>100</v>
      </c>
      <c r="E6" s="2" t="s">
        <v>128</v>
      </c>
      <c r="I6" s="8" t="s">
        <v>46</v>
      </c>
      <c r="J6" s="5" t="s">
        <v>47</v>
      </c>
    </row>
    <row r="7" spans="1:10" x14ac:dyDescent="0.25">
      <c r="A7" s="43" t="s">
        <v>119</v>
      </c>
      <c r="B7" s="19">
        <v>20.21</v>
      </c>
      <c r="C7" s="76">
        <v>21.56</v>
      </c>
      <c r="D7" s="19">
        <v>66</v>
      </c>
      <c r="E7" s="2" t="s">
        <v>123</v>
      </c>
      <c r="I7" s="8" t="s">
        <v>48</v>
      </c>
      <c r="J7" s="5" t="s">
        <v>49</v>
      </c>
    </row>
    <row r="8" spans="1:10" ht="16.5" customHeight="1" x14ac:dyDescent="0.25">
      <c r="A8" s="43" t="s">
        <v>39</v>
      </c>
      <c r="B8" s="19">
        <v>40.630000000000003</v>
      </c>
      <c r="C8" s="76">
        <v>41.2</v>
      </c>
      <c r="D8" s="19">
        <v>100</v>
      </c>
      <c r="E8" s="2" t="s">
        <v>128</v>
      </c>
      <c r="I8" s="8" t="s">
        <v>50</v>
      </c>
      <c r="J8" s="5" t="s">
        <v>51</v>
      </c>
    </row>
    <row r="9" spans="1:10" ht="15" customHeight="1" x14ac:dyDescent="0.25">
      <c r="A9" s="43" t="s">
        <v>39</v>
      </c>
      <c r="B9" s="13">
        <v>29.4</v>
      </c>
      <c r="C9" s="75">
        <v>31.2</v>
      </c>
      <c r="D9" s="13">
        <v>66</v>
      </c>
      <c r="E9" s="2" t="s">
        <v>123</v>
      </c>
      <c r="I9" s="8" t="s">
        <v>52</v>
      </c>
      <c r="J9" s="5" t="s">
        <v>53</v>
      </c>
    </row>
    <row r="10" spans="1:10" x14ac:dyDescent="0.25">
      <c r="A10" s="43" t="s">
        <v>121</v>
      </c>
      <c r="B10" s="13">
        <v>28.82</v>
      </c>
      <c r="C10" s="75">
        <v>29</v>
      </c>
      <c r="D10" s="13">
        <v>100</v>
      </c>
      <c r="E10" s="2" t="s">
        <v>128</v>
      </c>
      <c r="I10" s="8" t="s">
        <v>54</v>
      </c>
      <c r="J10" s="5" t="s">
        <v>55</v>
      </c>
    </row>
    <row r="11" spans="1:10" ht="18.75" customHeight="1" x14ac:dyDescent="0.25">
      <c r="A11" s="43" t="s">
        <v>121</v>
      </c>
      <c r="B11" s="19">
        <v>20.21</v>
      </c>
      <c r="C11" s="76">
        <v>21.56</v>
      </c>
      <c r="D11" s="19">
        <v>66</v>
      </c>
      <c r="E11" s="2" t="s">
        <v>123</v>
      </c>
      <c r="I11" s="8" t="s">
        <v>56</v>
      </c>
      <c r="J11" s="5" t="s">
        <v>57</v>
      </c>
    </row>
    <row r="12" spans="1:10" ht="19.5" customHeight="1" x14ac:dyDescent="0.25">
      <c r="A12" s="45"/>
      <c r="B12" s="45"/>
      <c r="C12" s="45"/>
      <c r="D12" s="45"/>
      <c r="E12" s="45"/>
      <c r="F12" s="45"/>
      <c r="I12" s="8" t="s">
        <v>58</v>
      </c>
      <c r="J12" s="5">
        <v>14.3</v>
      </c>
    </row>
    <row r="13" spans="1:10" ht="18.75" x14ac:dyDescent="0.25">
      <c r="A13" s="46" t="s">
        <v>131</v>
      </c>
      <c r="B13" s="45"/>
      <c r="C13" s="45"/>
      <c r="D13" s="45"/>
      <c r="E13" s="45"/>
      <c r="F13" s="45"/>
      <c r="I13" s="8" t="s">
        <v>59</v>
      </c>
      <c r="J13" s="5" t="s">
        <v>60</v>
      </c>
    </row>
    <row r="14" spans="1:10" ht="35.25" customHeight="1" x14ac:dyDescent="0.25">
      <c r="A14" s="13"/>
      <c r="B14" s="43" t="s">
        <v>254</v>
      </c>
      <c r="C14" s="43" t="s">
        <v>40</v>
      </c>
      <c r="D14" s="44" t="s">
        <v>147</v>
      </c>
      <c r="E14" s="18"/>
      <c r="I14" s="8" t="s">
        <v>65</v>
      </c>
      <c r="J14" s="7" t="s">
        <v>211</v>
      </c>
    </row>
    <row r="15" spans="1:10" ht="18.75" x14ac:dyDescent="0.25">
      <c r="A15" s="43" t="s">
        <v>37</v>
      </c>
      <c r="B15" s="95">
        <v>34.31</v>
      </c>
      <c r="C15" s="13">
        <v>100</v>
      </c>
      <c r="D15" s="2" t="s">
        <v>127</v>
      </c>
      <c r="E15" s="61"/>
      <c r="I15" s="9"/>
      <c r="J15" s="9"/>
    </row>
    <row r="16" spans="1:10" ht="18.75" x14ac:dyDescent="0.25">
      <c r="A16" s="43" t="s">
        <v>38</v>
      </c>
      <c r="B16" s="95">
        <v>34.270000000000003</v>
      </c>
      <c r="C16" s="13">
        <v>100</v>
      </c>
      <c r="D16" s="2" t="s">
        <v>127</v>
      </c>
      <c r="E16" s="61"/>
      <c r="I16" s="9" t="s">
        <v>15</v>
      </c>
      <c r="J16" s="9"/>
    </row>
    <row r="17" spans="1:10" x14ac:dyDescent="0.25">
      <c r="A17" s="43" t="s">
        <v>120</v>
      </c>
      <c r="B17" s="95">
        <v>34.31</v>
      </c>
      <c r="C17" s="13">
        <v>100</v>
      </c>
      <c r="D17" s="2" t="s">
        <v>127</v>
      </c>
      <c r="E17" s="61"/>
      <c r="I17" s="8" t="s">
        <v>61</v>
      </c>
      <c r="J17" s="5" t="s">
        <v>62</v>
      </c>
    </row>
    <row r="18" spans="1:10" x14ac:dyDescent="0.25">
      <c r="A18" s="43" t="s">
        <v>119</v>
      </c>
      <c r="B18" s="95">
        <v>34.299999999999997</v>
      </c>
      <c r="C18" s="13">
        <v>100</v>
      </c>
      <c r="D18" s="2" t="s">
        <v>128</v>
      </c>
      <c r="E18" s="61"/>
      <c r="I18" s="8" t="s">
        <v>126</v>
      </c>
      <c r="J18" s="13" t="s">
        <v>127</v>
      </c>
    </row>
    <row r="19" spans="1:10" x14ac:dyDescent="0.25">
      <c r="A19" s="43" t="s">
        <v>119</v>
      </c>
      <c r="B19" s="95">
        <v>34.299999999999997</v>
      </c>
      <c r="C19" s="13">
        <v>100</v>
      </c>
      <c r="D19" s="2" t="s">
        <v>123</v>
      </c>
      <c r="E19" s="61"/>
      <c r="I19" s="8" t="s">
        <v>91</v>
      </c>
      <c r="J19" s="5" t="s">
        <v>63</v>
      </c>
    </row>
    <row r="20" spans="1:10" x14ac:dyDescent="0.25">
      <c r="A20" s="43" t="s">
        <v>41</v>
      </c>
      <c r="B20" s="96">
        <v>34.31</v>
      </c>
      <c r="C20" s="13">
        <v>100</v>
      </c>
      <c r="D20" s="2" t="s">
        <v>128</v>
      </c>
      <c r="E20" s="61"/>
      <c r="I20" s="7"/>
      <c r="J20" s="7"/>
    </row>
    <row r="21" spans="1:10" ht="18.75" x14ac:dyDescent="0.25">
      <c r="A21" s="43" t="s">
        <v>41</v>
      </c>
      <c r="B21" s="95">
        <v>34.31</v>
      </c>
      <c r="C21" s="13">
        <v>100</v>
      </c>
      <c r="D21" s="2" t="s">
        <v>123</v>
      </c>
      <c r="E21" s="61"/>
      <c r="I21" s="9" t="s">
        <v>16</v>
      </c>
      <c r="J21" s="7"/>
    </row>
    <row r="22" spans="1:10" x14ac:dyDescent="0.25">
      <c r="A22" s="43" t="s">
        <v>121</v>
      </c>
      <c r="B22" s="95">
        <v>34.299999999999997</v>
      </c>
      <c r="C22" s="13">
        <v>100</v>
      </c>
      <c r="D22" s="2" t="s">
        <v>128</v>
      </c>
      <c r="E22" s="61"/>
      <c r="I22" s="8" t="s">
        <v>61</v>
      </c>
      <c r="J22" s="7" t="s">
        <v>64</v>
      </c>
    </row>
    <row r="23" spans="1:10" x14ac:dyDescent="0.25">
      <c r="A23" s="43" t="s">
        <v>121</v>
      </c>
      <c r="B23" s="95">
        <v>34.299999999999997</v>
      </c>
      <c r="C23" s="13">
        <v>100</v>
      </c>
      <c r="D23" s="2" t="s">
        <v>123</v>
      </c>
      <c r="E23" s="61"/>
      <c r="I23" s="116" t="s">
        <v>126</v>
      </c>
      <c r="J23" s="7" t="s">
        <v>124</v>
      </c>
    </row>
    <row r="24" spans="1:10" ht="20.25" customHeight="1" x14ac:dyDescent="0.25">
      <c r="A24" s="45"/>
      <c r="B24" s="45"/>
      <c r="C24" s="45"/>
      <c r="D24" s="45"/>
      <c r="E24" s="45"/>
      <c r="I24" s="117"/>
      <c r="J24" s="7" t="s">
        <v>125</v>
      </c>
    </row>
    <row r="25" spans="1:10" ht="18.75" x14ac:dyDescent="0.25">
      <c r="A25" s="46"/>
      <c r="B25" s="45"/>
      <c r="C25" s="45"/>
      <c r="D25" s="45"/>
      <c r="E25" s="45"/>
      <c r="F25" s="45"/>
      <c r="G25" s="18"/>
      <c r="I25" s="8" t="s">
        <v>91</v>
      </c>
      <c r="J25" s="7" t="s">
        <v>122</v>
      </c>
    </row>
    <row r="26" spans="1:10" ht="18.75" x14ac:dyDescent="0.25">
      <c r="A26" s="52" t="s">
        <v>261</v>
      </c>
      <c r="B26" s="3"/>
      <c r="C26" s="3"/>
      <c r="D26" s="3"/>
      <c r="E26" s="45"/>
      <c r="F26" s="45"/>
    </row>
    <row r="27" spans="1:10" ht="31.5" customHeight="1" x14ac:dyDescent="0.25">
      <c r="A27" s="48" t="s">
        <v>22</v>
      </c>
      <c r="B27" s="48" t="s">
        <v>277</v>
      </c>
      <c r="C27" s="58" t="s">
        <v>218</v>
      </c>
      <c r="D27" s="48" t="s">
        <v>201</v>
      </c>
      <c r="E27" s="58" t="s">
        <v>214</v>
      </c>
      <c r="F27" s="43" t="s">
        <v>40</v>
      </c>
      <c r="G27" s="44" t="s">
        <v>147</v>
      </c>
    </row>
    <row r="28" spans="1:10" x14ac:dyDescent="0.25">
      <c r="A28" s="43" t="s">
        <v>37</v>
      </c>
      <c r="B28" s="93">
        <v>0.91100000000000003</v>
      </c>
      <c r="C28" s="80">
        <v>0.19800000000000001</v>
      </c>
      <c r="D28" s="80">
        <v>1.88</v>
      </c>
      <c r="E28" s="80">
        <f t="shared" ref="E28:E36" si="0">B28+C28+D28</f>
        <v>2.9889999999999999</v>
      </c>
      <c r="F28" s="13">
        <v>100</v>
      </c>
      <c r="G28" s="2" t="s">
        <v>127</v>
      </c>
    </row>
    <row r="29" spans="1:10" x14ac:dyDescent="0.25">
      <c r="A29" s="43" t="s">
        <v>38</v>
      </c>
      <c r="B29" s="93">
        <v>0.92700000000000005</v>
      </c>
      <c r="C29" s="80">
        <v>0.19500000000000001</v>
      </c>
      <c r="D29" s="80">
        <v>1.87</v>
      </c>
      <c r="E29" s="80">
        <f t="shared" si="0"/>
        <v>2.992</v>
      </c>
      <c r="F29" s="13">
        <v>100</v>
      </c>
      <c r="G29" s="2" t="s">
        <v>127</v>
      </c>
    </row>
    <row r="30" spans="1:10" x14ac:dyDescent="0.25">
      <c r="A30" s="43" t="s">
        <v>120</v>
      </c>
      <c r="B30" s="93">
        <v>0.91100000000000003</v>
      </c>
      <c r="C30" s="80">
        <v>0.19800000000000001</v>
      </c>
      <c r="D30" s="80">
        <v>1.88</v>
      </c>
      <c r="E30" s="80">
        <f t="shared" si="0"/>
        <v>2.9889999999999999</v>
      </c>
      <c r="F30" s="13">
        <v>100</v>
      </c>
      <c r="G30" s="2" t="s">
        <v>127</v>
      </c>
    </row>
    <row r="31" spans="1:10" x14ac:dyDescent="0.25">
      <c r="A31" s="43" t="s">
        <v>119</v>
      </c>
      <c r="B31" s="93">
        <v>0.93700000000000006</v>
      </c>
      <c r="C31" s="80">
        <v>0.20499999999999999</v>
      </c>
      <c r="D31" s="80">
        <v>1.89</v>
      </c>
      <c r="E31" s="80">
        <f t="shared" si="0"/>
        <v>3.032</v>
      </c>
      <c r="F31" s="13">
        <v>100</v>
      </c>
      <c r="G31" s="2" t="s">
        <v>128</v>
      </c>
    </row>
    <row r="32" spans="1:10" x14ac:dyDescent="0.25">
      <c r="A32" s="43" t="s">
        <v>119</v>
      </c>
      <c r="B32" s="93">
        <v>0.93700000000000006</v>
      </c>
      <c r="C32" s="80">
        <v>0.20499999999999999</v>
      </c>
      <c r="D32" s="80">
        <v>1.89</v>
      </c>
      <c r="E32" s="80">
        <f t="shared" si="0"/>
        <v>3.032</v>
      </c>
      <c r="F32" s="13">
        <v>100</v>
      </c>
      <c r="G32" s="2" t="s">
        <v>123</v>
      </c>
    </row>
    <row r="33" spans="1:7" x14ac:dyDescent="0.25">
      <c r="A33" s="43" t="s">
        <v>41</v>
      </c>
      <c r="B33" s="93">
        <v>0.92800000000000005</v>
      </c>
      <c r="C33" s="80">
        <v>0.19600000000000001</v>
      </c>
      <c r="D33" s="80">
        <v>1.87</v>
      </c>
      <c r="E33" s="80">
        <f t="shared" si="0"/>
        <v>2.9940000000000002</v>
      </c>
      <c r="F33" s="13">
        <v>100</v>
      </c>
      <c r="G33" s="2" t="s">
        <v>128</v>
      </c>
    </row>
    <row r="34" spans="1:7" x14ac:dyDescent="0.25">
      <c r="A34" s="43" t="s">
        <v>41</v>
      </c>
      <c r="B34" s="93">
        <v>0.92800000000000005</v>
      </c>
      <c r="C34" s="80">
        <v>0.19600000000000001</v>
      </c>
      <c r="D34" s="80">
        <v>1.87</v>
      </c>
      <c r="E34" s="80">
        <f t="shared" si="0"/>
        <v>2.9940000000000002</v>
      </c>
      <c r="F34" s="13">
        <v>100</v>
      </c>
      <c r="G34" s="2" t="s">
        <v>123</v>
      </c>
    </row>
    <row r="35" spans="1:7" x14ac:dyDescent="0.25">
      <c r="A35" s="43" t="s">
        <v>121</v>
      </c>
      <c r="B35" s="93">
        <v>0.93700000000000006</v>
      </c>
      <c r="C35" s="80">
        <v>0.20499999999999999</v>
      </c>
      <c r="D35" s="80">
        <v>1.89</v>
      </c>
      <c r="E35" s="80">
        <f t="shared" si="0"/>
        <v>3.032</v>
      </c>
      <c r="F35" s="13">
        <v>100</v>
      </c>
      <c r="G35" s="2" t="s">
        <v>128</v>
      </c>
    </row>
    <row r="36" spans="1:7" x14ac:dyDescent="0.25">
      <c r="A36" s="43" t="s">
        <v>121</v>
      </c>
      <c r="B36" s="93">
        <v>0.93700000000000006</v>
      </c>
      <c r="C36" s="80">
        <v>0.20499999999999999</v>
      </c>
      <c r="D36" s="80">
        <v>1.89</v>
      </c>
      <c r="E36" s="80">
        <f t="shared" si="0"/>
        <v>3.032</v>
      </c>
      <c r="F36" s="13">
        <v>100</v>
      </c>
      <c r="G36" s="2" t="s">
        <v>123</v>
      </c>
    </row>
    <row r="39" spans="1:7" x14ac:dyDescent="0.25">
      <c r="A39" s="3" t="s">
        <v>278</v>
      </c>
      <c r="F39" s="3"/>
      <c r="G39" s="3"/>
    </row>
    <row r="40" spans="1:7" ht="32.25" customHeight="1" x14ac:dyDescent="0.25">
      <c r="A40" s="3" t="s">
        <v>212</v>
      </c>
    </row>
    <row r="41" spans="1:7" x14ac:dyDescent="0.25">
      <c r="A41" s="3" t="s">
        <v>197</v>
      </c>
    </row>
    <row r="42" spans="1:7" x14ac:dyDescent="0.25">
      <c r="A42" s="3" t="s">
        <v>213</v>
      </c>
    </row>
    <row r="44" spans="1:7" x14ac:dyDescent="0.25">
      <c r="A44" t="s">
        <v>219</v>
      </c>
    </row>
    <row r="48" spans="1:7" x14ac:dyDescent="0.25">
      <c r="A48" s="3"/>
    </row>
  </sheetData>
  <sheetProtection password="EAA2" sheet="1" objects="1" scenarios="1"/>
  <mergeCells count="2">
    <mergeCell ref="I23:I24"/>
    <mergeCell ref="H3:I3"/>
  </mergeCells>
  <pageMargins left="0.7" right="0.7" top="0.75" bottom="0.75" header="0.3" footer="0.3"/>
  <pageSetup orientation="portrait" r:id="rId1"/>
  <headerFooter>
    <oddFooter>&amp;C&amp;"arial,Regular"&amp;10&amp;KE36C0AXILINX INTERNAL</oddFooter>
    <evenFooter>&amp;C&amp;"arial,Regular"&amp;10&amp;KE36C0AXILINX INTERNAL</evenFooter>
    <firstFooter>&amp;C&amp;"arial,Regular"&amp;10&amp;KE36C0AXILINX INTERNAL</firstFoot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J47"/>
  <sheetViews>
    <sheetView workbookViewId="0">
      <selection activeCell="E26" sqref="E26"/>
    </sheetView>
  </sheetViews>
  <sheetFormatPr defaultRowHeight="15" x14ac:dyDescent="0.25"/>
  <cols>
    <col min="1" max="1" width="26.28515625" customWidth="1"/>
    <col min="2" max="2" width="39.42578125" customWidth="1"/>
    <col min="3" max="3" width="27.85546875" customWidth="1"/>
    <col min="4" max="4" width="47.42578125" customWidth="1"/>
    <col min="5" max="5" width="21.42578125" customWidth="1"/>
    <col min="6" max="6" width="16.7109375" customWidth="1"/>
    <col min="7" max="7" width="21" customWidth="1"/>
    <col min="8" max="8" width="16.85546875" customWidth="1"/>
    <col min="9" max="9" width="30.85546875" customWidth="1"/>
    <col min="10" max="10" width="29.42578125" customWidth="1"/>
    <col min="11" max="11" width="14.28515625" customWidth="1"/>
    <col min="12" max="12" width="20.140625" customWidth="1"/>
  </cols>
  <sheetData>
    <row r="1" spans="1:10" ht="18.75" x14ac:dyDescent="0.3">
      <c r="A1" s="47" t="s">
        <v>130</v>
      </c>
    </row>
    <row r="2" spans="1:10" ht="33" customHeight="1" x14ac:dyDescent="0.25">
      <c r="A2" s="13"/>
      <c r="B2" s="43" t="s">
        <v>251</v>
      </c>
      <c r="C2" s="43" t="s">
        <v>236</v>
      </c>
      <c r="D2" s="43" t="s">
        <v>36</v>
      </c>
      <c r="E2" s="44" t="s">
        <v>147</v>
      </c>
      <c r="F2" s="18"/>
    </row>
    <row r="3" spans="1:10" ht="23.25" x14ac:dyDescent="0.35">
      <c r="A3" s="43" t="s">
        <v>37</v>
      </c>
      <c r="B3" s="75">
        <v>27.17</v>
      </c>
      <c r="C3" s="75">
        <v>27</v>
      </c>
      <c r="D3" s="13">
        <v>100</v>
      </c>
      <c r="E3" s="2" t="s">
        <v>127</v>
      </c>
      <c r="F3" s="61"/>
      <c r="I3" s="119" t="s">
        <v>32</v>
      </c>
      <c r="J3" s="119"/>
    </row>
    <row r="4" spans="1:10" x14ac:dyDescent="0.25">
      <c r="A4" s="43" t="s">
        <v>38</v>
      </c>
      <c r="B4" s="75">
        <v>38.78</v>
      </c>
      <c r="C4" s="75">
        <v>38.200000000000003</v>
      </c>
      <c r="D4" s="13">
        <v>100</v>
      </c>
      <c r="E4" s="2" t="s">
        <v>127</v>
      </c>
      <c r="F4" s="61"/>
      <c r="I4" s="8" t="s">
        <v>42</v>
      </c>
      <c r="J4" s="13" t="s">
        <v>43</v>
      </c>
    </row>
    <row r="5" spans="1:10" ht="18" customHeight="1" x14ac:dyDescent="0.25">
      <c r="A5" s="43" t="s">
        <v>120</v>
      </c>
      <c r="B5" s="75">
        <v>27.17</v>
      </c>
      <c r="C5" s="75">
        <v>27</v>
      </c>
      <c r="D5" s="13">
        <v>100</v>
      </c>
      <c r="E5" s="2" t="s">
        <v>127</v>
      </c>
      <c r="F5" s="61"/>
      <c r="I5" s="8" t="s">
        <v>44</v>
      </c>
      <c r="J5" s="13" t="s">
        <v>45</v>
      </c>
    </row>
    <row r="6" spans="1:10" x14ac:dyDescent="0.25">
      <c r="A6" s="43" t="s">
        <v>119</v>
      </c>
      <c r="B6" s="75">
        <v>29.2</v>
      </c>
      <c r="C6" s="75">
        <v>29</v>
      </c>
      <c r="D6" s="13">
        <v>100</v>
      </c>
      <c r="E6" s="2" t="s">
        <v>128</v>
      </c>
      <c r="F6" s="61"/>
      <c r="I6" s="8" t="s">
        <v>46</v>
      </c>
      <c r="J6" s="13" t="s">
        <v>47</v>
      </c>
    </row>
    <row r="7" spans="1:10" x14ac:dyDescent="0.25">
      <c r="A7" s="43" t="s">
        <v>119</v>
      </c>
      <c r="B7" s="76">
        <v>21.6</v>
      </c>
      <c r="C7" s="76">
        <v>21.2</v>
      </c>
      <c r="D7" s="19">
        <v>66</v>
      </c>
      <c r="E7" s="2" t="s">
        <v>123</v>
      </c>
      <c r="F7" s="61"/>
      <c r="I7" s="8" t="s">
        <v>48</v>
      </c>
      <c r="J7" s="13" t="s">
        <v>49</v>
      </c>
    </row>
    <row r="8" spans="1:10" ht="16.5" customHeight="1" x14ac:dyDescent="0.25">
      <c r="A8" s="43" t="s">
        <v>39</v>
      </c>
      <c r="B8" s="76">
        <v>41.48</v>
      </c>
      <c r="C8" s="76">
        <v>41.02</v>
      </c>
      <c r="D8" s="19">
        <v>100</v>
      </c>
      <c r="E8" s="2" t="s">
        <v>128</v>
      </c>
      <c r="F8" s="61"/>
      <c r="I8" s="8" t="s">
        <v>50</v>
      </c>
      <c r="J8" s="13" t="s">
        <v>51</v>
      </c>
    </row>
    <row r="9" spans="1:10" ht="15" customHeight="1" x14ac:dyDescent="0.25">
      <c r="A9" s="43" t="s">
        <v>39</v>
      </c>
      <c r="B9" s="75">
        <v>31.4</v>
      </c>
      <c r="C9" s="75">
        <v>30.8</v>
      </c>
      <c r="D9" s="13">
        <v>66</v>
      </c>
      <c r="E9" s="2" t="s">
        <v>123</v>
      </c>
      <c r="F9" s="61"/>
      <c r="I9" s="8" t="s">
        <v>52</v>
      </c>
      <c r="J9" s="13" t="s">
        <v>53</v>
      </c>
    </row>
    <row r="10" spans="1:10" x14ac:dyDescent="0.25">
      <c r="A10" s="43" t="s">
        <v>121</v>
      </c>
      <c r="B10" s="75">
        <v>29.2</v>
      </c>
      <c r="C10" s="75">
        <v>29</v>
      </c>
      <c r="D10" s="13">
        <v>100</v>
      </c>
      <c r="E10" s="2" t="s">
        <v>128</v>
      </c>
      <c r="F10" s="61"/>
      <c r="I10" s="8" t="s">
        <v>54</v>
      </c>
      <c r="J10" s="13" t="s">
        <v>55</v>
      </c>
    </row>
    <row r="11" spans="1:10" ht="18.75" customHeight="1" x14ac:dyDescent="0.25">
      <c r="A11" s="43" t="s">
        <v>121</v>
      </c>
      <c r="B11" s="76">
        <v>21.6</v>
      </c>
      <c r="C11" s="76">
        <v>21.2</v>
      </c>
      <c r="D11" s="19">
        <v>66</v>
      </c>
      <c r="E11" s="2" t="s">
        <v>123</v>
      </c>
      <c r="F11" s="61"/>
      <c r="I11" s="8" t="s">
        <v>56</v>
      </c>
      <c r="J11" s="13" t="s">
        <v>57</v>
      </c>
    </row>
    <row r="12" spans="1:10" ht="19.5" customHeight="1" x14ac:dyDescent="0.25">
      <c r="A12" s="45"/>
      <c r="B12" s="45"/>
      <c r="C12" s="45"/>
      <c r="D12" s="45"/>
      <c r="E12" s="45"/>
      <c r="F12" s="45"/>
      <c r="I12" s="8" t="s">
        <v>58</v>
      </c>
      <c r="J12" s="13">
        <v>14.3</v>
      </c>
    </row>
    <row r="13" spans="1:10" ht="18.75" x14ac:dyDescent="0.25">
      <c r="A13" s="46" t="s">
        <v>131</v>
      </c>
      <c r="B13" s="45"/>
      <c r="C13" s="45"/>
      <c r="D13" s="45"/>
      <c r="I13" s="8" t="s">
        <v>59</v>
      </c>
      <c r="J13" s="13" t="s">
        <v>60</v>
      </c>
    </row>
    <row r="14" spans="1:10" ht="35.25" customHeight="1" x14ac:dyDescent="0.25">
      <c r="A14" s="13"/>
      <c r="B14" s="43" t="s">
        <v>254</v>
      </c>
      <c r="C14" s="43" t="s">
        <v>40</v>
      </c>
      <c r="D14" s="44" t="s">
        <v>147</v>
      </c>
      <c r="I14" s="8" t="s">
        <v>65</v>
      </c>
      <c r="J14" s="7" t="s">
        <v>211</v>
      </c>
    </row>
    <row r="15" spans="1:10" ht="18.75" x14ac:dyDescent="0.25">
      <c r="A15" s="43" t="s">
        <v>37</v>
      </c>
      <c r="B15" s="95">
        <v>34.31</v>
      </c>
      <c r="C15" s="13">
        <v>100</v>
      </c>
      <c r="D15" s="2" t="s">
        <v>127</v>
      </c>
      <c r="I15" s="9"/>
      <c r="J15" s="9"/>
    </row>
    <row r="16" spans="1:10" ht="18.75" x14ac:dyDescent="0.25">
      <c r="A16" s="43" t="s">
        <v>38</v>
      </c>
      <c r="B16" s="95">
        <v>34.270000000000003</v>
      </c>
      <c r="C16" s="13">
        <v>100</v>
      </c>
      <c r="D16" s="2" t="s">
        <v>127</v>
      </c>
      <c r="I16" s="9" t="s">
        <v>15</v>
      </c>
      <c r="J16" s="9"/>
    </row>
    <row r="17" spans="1:10" x14ac:dyDescent="0.25">
      <c r="A17" s="43" t="s">
        <v>120</v>
      </c>
      <c r="B17" s="95">
        <v>34.31</v>
      </c>
      <c r="C17" s="13">
        <v>100</v>
      </c>
      <c r="D17" s="2" t="s">
        <v>127</v>
      </c>
      <c r="I17" s="8" t="s">
        <v>61</v>
      </c>
      <c r="J17" s="13" t="s">
        <v>62</v>
      </c>
    </row>
    <row r="18" spans="1:10" x14ac:dyDescent="0.25">
      <c r="A18" s="43" t="s">
        <v>119</v>
      </c>
      <c r="B18" s="95">
        <v>34.299999999999997</v>
      </c>
      <c r="C18" s="13">
        <v>100</v>
      </c>
      <c r="D18" s="2" t="s">
        <v>128</v>
      </c>
      <c r="I18" s="8" t="s">
        <v>126</v>
      </c>
      <c r="J18" s="13" t="s">
        <v>127</v>
      </c>
    </row>
    <row r="19" spans="1:10" x14ac:dyDescent="0.25">
      <c r="A19" s="43" t="s">
        <v>119</v>
      </c>
      <c r="B19" s="95">
        <v>34.299999999999997</v>
      </c>
      <c r="C19" s="13">
        <v>100</v>
      </c>
      <c r="D19" s="2" t="s">
        <v>123</v>
      </c>
      <c r="I19" s="8" t="s">
        <v>91</v>
      </c>
      <c r="J19" s="13" t="s">
        <v>63</v>
      </c>
    </row>
    <row r="20" spans="1:10" x14ac:dyDescent="0.25">
      <c r="A20" s="43" t="s">
        <v>41</v>
      </c>
      <c r="B20" s="96">
        <v>34.31</v>
      </c>
      <c r="C20" s="13">
        <v>100</v>
      </c>
      <c r="D20" s="2" t="s">
        <v>128</v>
      </c>
      <c r="I20" s="7"/>
      <c r="J20" s="7"/>
    </row>
    <row r="21" spans="1:10" ht="18.75" x14ac:dyDescent="0.25">
      <c r="A21" s="43" t="s">
        <v>41</v>
      </c>
      <c r="B21" s="95">
        <v>34.31</v>
      </c>
      <c r="C21" s="13">
        <v>100</v>
      </c>
      <c r="D21" s="2" t="s">
        <v>123</v>
      </c>
      <c r="I21" s="9" t="s">
        <v>16</v>
      </c>
      <c r="J21" s="7"/>
    </row>
    <row r="22" spans="1:10" x14ac:dyDescent="0.25">
      <c r="A22" s="43" t="s">
        <v>121</v>
      </c>
      <c r="B22" s="95">
        <v>34.299999999999997</v>
      </c>
      <c r="C22" s="13">
        <v>100</v>
      </c>
      <c r="D22" s="2" t="s">
        <v>128</v>
      </c>
      <c r="I22" s="8" t="s">
        <v>61</v>
      </c>
      <c r="J22" s="7" t="s">
        <v>64</v>
      </c>
    </row>
    <row r="23" spans="1:10" x14ac:dyDescent="0.25">
      <c r="A23" s="43" t="s">
        <v>121</v>
      </c>
      <c r="B23" s="95">
        <v>34.299999999999997</v>
      </c>
      <c r="C23" s="13">
        <v>100</v>
      </c>
      <c r="D23" s="2" t="s">
        <v>123</v>
      </c>
      <c r="I23" s="116" t="s">
        <v>126</v>
      </c>
      <c r="J23" s="7" t="s">
        <v>124</v>
      </c>
    </row>
    <row r="24" spans="1:10" ht="20.25" customHeight="1" x14ac:dyDescent="0.25">
      <c r="I24" s="117"/>
      <c r="J24" s="7" t="s">
        <v>125</v>
      </c>
    </row>
    <row r="25" spans="1:10" x14ac:dyDescent="0.25">
      <c r="I25" s="8" t="s">
        <v>91</v>
      </c>
      <c r="J25" s="7" t="s">
        <v>122</v>
      </c>
    </row>
    <row r="26" spans="1:10" ht="75" x14ac:dyDescent="0.25">
      <c r="A26" s="77" t="s">
        <v>241</v>
      </c>
      <c r="B26" s="4">
        <v>99.87</v>
      </c>
      <c r="C26" s="1"/>
      <c r="D26" s="81" t="s">
        <v>262</v>
      </c>
    </row>
    <row r="27" spans="1:10" x14ac:dyDescent="0.25">
      <c r="A27" s="97"/>
      <c r="B27" s="98"/>
      <c r="C27" s="84"/>
      <c r="D27" s="99"/>
    </row>
    <row r="28" spans="1:10" ht="17.25" customHeight="1" x14ac:dyDescent="0.25"/>
    <row r="29" spans="1:10" s="94" customFormat="1" ht="16.5" customHeight="1" x14ac:dyDescent="0.25">
      <c r="A29" s="52" t="s">
        <v>261</v>
      </c>
      <c r="B29" s="3"/>
      <c r="C29" s="3"/>
      <c r="D29" s="3"/>
      <c r="E29"/>
      <c r="F29" s="3"/>
      <c r="G29" s="3"/>
    </row>
    <row r="30" spans="1:10" s="94" customFormat="1" ht="17.25" customHeight="1" x14ac:dyDescent="0.25">
      <c r="A30" s="73" t="s">
        <v>22</v>
      </c>
      <c r="B30" s="77" t="s">
        <v>277</v>
      </c>
      <c r="C30" s="77" t="s">
        <v>218</v>
      </c>
      <c r="D30" s="77" t="s">
        <v>201</v>
      </c>
      <c r="E30" s="77" t="s">
        <v>243</v>
      </c>
      <c r="F30" s="43" t="s">
        <v>40</v>
      </c>
      <c r="G30" s="44" t="s">
        <v>147</v>
      </c>
    </row>
    <row r="31" spans="1:10" s="94" customFormat="1" ht="16.5" customHeight="1" x14ac:dyDescent="0.25">
      <c r="A31" s="43" t="s">
        <v>37</v>
      </c>
      <c r="B31" s="93">
        <v>0.91100000000000003</v>
      </c>
      <c r="C31" s="80">
        <v>0.19800000000000001</v>
      </c>
      <c r="D31" s="80">
        <v>1.88</v>
      </c>
      <c r="E31" s="80">
        <f t="shared" ref="E31:E39" si="0">B31+C31+D31</f>
        <v>2.9889999999999999</v>
      </c>
      <c r="F31" s="13">
        <v>100</v>
      </c>
      <c r="G31" s="2" t="s">
        <v>127</v>
      </c>
    </row>
    <row r="32" spans="1:10" s="94" customFormat="1" ht="15" customHeight="1" x14ac:dyDescent="0.25">
      <c r="A32" s="43" t="s">
        <v>38</v>
      </c>
      <c r="B32" s="93">
        <v>0.92700000000000005</v>
      </c>
      <c r="C32" s="80">
        <v>0.19500000000000001</v>
      </c>
      <c r="D32" s="80">
        <v>1.87</v>
      </c>
      <c r="E32" s="80">
        <f t="shared" si="0"/>
        <v>2.992</v>
      </c>
      <c r="F32" s="13">
        <v>100</v>
      </c>
      <c r="G32" s="2" t="s">
        <v>127</v>
      </c>
    </row>
    <row r="33" spans="1:7" s="94" customFormat="1" ht="16.5" customHeight="1" x14ac:dyDescent="0.25">
      <c r="A33" s="43" t="s">
        <v>120</v>
      </c>
      <c r="B33" s="93">
        <v>0.91100000000000003</v>
      </c>
      <c r="C33" s="80">
        <v>0.19800000000000001</v>
      </c>
      <c r="D33" s="80">
        <v>1.88</v>
      </c>
      <c r="E33" s="80">
        <f t="shared" si="0"/>
        <v>2.9889999999999999</v>
      </c>
      <c r="F33" s="13">
        <v>100</v>
      </c>
      <c r="G33" s="2" t="s">
        <v>127</v>
      </c>
    </row>
    <row r="34" spans="1:7" x14ac:dyDescent="0.25">
      <c r="A34" s="43" t="s">
        <v>119</v>
      </c>
      <c r="B34" s="93">
        <v>0.93700000000000006</v>
      </c>
      <c r="C34" s="80">
        <v>0.20499999999999999</v>
      </c>
      <c r="D34" s="80">
        <v>1.89</v>
      </c>
      <c r="E34" s="80">
        <f t="shared" si="0"/>
        <v>3.032</v>
      </c>
      <c r="F34" s="13">
        <v>100</v>
      </c>
      <c r="G34" s="2" t="s">
        <v>128</v>
      </c>
    </row>
    <row r="35" spans="1:7" x14ac:dyDescent="0.25">
      <c r="A35" s="43" t="s">
        <v>119</v>
      </c>
      <c r="B35" s="93">
        <v>0.93700000000000006</v>
      </c>
      <c r="C35" s="80">
        <v>0.20499999999999999</v>
      </c>
      <c r="D35" s="80">
        <v>1.89</v>
      </c>
      <c r="E35" s="80">
        <f t="shared" si="0"/>
        <v>3.032</v>
      </c>
      <c r="F35" s="13">
        <v>100</v>
      </c>
      <c r="G35" s="2" t="s">
        <v>123</v>
      </c>
    </row>
    <row r="36" spans="1:7" x14ac:dyDescent="0.25">
      <c r="A36" s="43" t="s">
        <v>41</v>
      </c>
      <c r="B36" s="93">
        <v>0.92800000000000005</v>
      </c>
      <c r="C36" s="80">
        <v>0.19600000000000001</v>
      </c>
      <c r="D36" s="80">
        <v>1.87</v>
      </c>
      <c r="E36" s="80">
        <f t="shared" si="0"/>
        <v>2.9940000000000002</v>
      </c>
      <c r="F36" s="13">
        <v>100</v>
      </c>
      <c r="G36" s="2" t="s">
        <v>128</v>
      </c>
    </row>
    <row r="37" spans="1:7" x14ac:dyDescent="0.25">
      <c r="A37" s="43" t="s">
        <v>41</v>
      </c>
      <c r="B37" s="93">
        <v>0.92800000000000005</v>
      </c>
      <c r="C37" s="80">
        <v>0.19600000000000001</v>
      </c>
      <c r="D37" s="80">
        <v>1.87</v>
      </c>
      <c r="E37" s="80">
        <f t="shared" si="0"/>
        <v>2.9940000000000002</v>
      </c>
      <c r="F37" s="13">
        <v>100</v>
      </c>
      <c r="G37" s="2" t="s">
        <v>123</v>
      </c>
    </row>
    <row r="38" spans="1:7" x14ac:dyDescent="0.25">
      <c r="A38" s="43" t="s">
        <v>121</v>
      </c>
      <c r="B38" s="93">
        <v>0.93700000000000006</v>
      </c>
      <c r="C38" s="80">
        <v>0.20499999999999999</v>
      </c>
      <c r="D38" s="80">
        <v>1.89</v>
      </c>
      <c r="E38" s="80">
        <f t="shared" si="0"/>
        <v>3.032</v>
      </c>
      <c r="F38" s="13">
        <v>100</v>
      </c>
      <c r="G38" s="2" t="s">
        <v>128</v>
      </c>
    </row>
    <row r="39" spans="1:7" x14ac:dyDescent="0.25">
      <c r="A39" s="43" t="s">
        <v>121</v>
      </c>
      <c r="B39" s="93">
        <v>0.93700000000000006</v>
      </c>
      <c r="C39" s="80">
        <v>0.20499999999999999</v>
      </c>
      <c r="D39" s="80">
        <v>1.89</v>
      </c>
      <c r="E39" s="80">
        <f t="shared" si="0"/>
        <v>3.032</v>
      </c>
      <c r="F39" s="13">
        <v>100</v>
      </c>
      <c r="G39" s="2" t="s">
        <v>123</v>
      </c>
    </row>
    <row r="41" spans="1:7" x14ac:dyDescent="0.25">
      <c r="A41" s="85" t="s">
        <v>279</v>
      </c>
    </row>
    <row r="42" spans="1:7" x14ac:dyDescent="0.25">
      <c r="A42" s="3" t="s">
        <v>212</v>
      </c>
    </row>
    <row r="43" spans="1:7" x14ac:dyDescent="0.25">
      <c r="A43" s="3" t="s">
        <v>197</v>
      </c>
    </row>
    <row r="44" spans="1:7" x14ac:dyDescent="0.25">
      <c r="A44" s="3" t="s">
        <v>213</v>
      </c>
    </row>
    <row r="46" spans="1:7" x14ac:dyDescent="0.25">
      <c r="A46" t="s">
        <v>219</v>
      </c>
    </row>
    <row r="47" spans="1:7" x14ac:dyDescent="0.25">
      <c r="A47" s="3" t="s">
        <v>220</v>
      </c>
    </row>
  </sheetData>
  <sheetProtection password="EAA2" sheet="1" objects="1" scenarios="1"/>
  <mergeCells count="2">
    <mergeCell ref="I3:J3"/>
    <mergeCell ref="I23:I24"/>
  </mergeCells>
  <pageMargins left="0.7" right="0.7" top="0.75" bottom="0.75" header="0.3" footer="0.3"/>
  <pageSetup orientation="portrait" r:id="rId1"/>
  <headerFooter>
    <oddFooter>&amp;C&amp;"arial,Regular"&amp;10&amp;KE36C0AXILINX INTERNAL</oddFooter>
    <evenFooter>&amp;C&amp;"arial,Regular"&amp;10&amp;KE36C0AXILINX INTERNAL</evenFooter>
    <firstFooter>&amp;C&amp;"arial,Regular"&amp;10&amp;KE36C0AXILINX INTERNAL</firstFooter>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K30"/>
  <sheetViews>
    <sheetView workbookViewId="0">
      <selection activeCell="B9" sqref="B9"/>
    </sheetView>
  </sheetViews>
  <sheetFormatPr defaultRowHeight="15" x14ac:dyDescent="0.25"/>
  <cols>
    <col min="1" max="1" width="23.140625" style="25" customWidth="1"/>
    <col min="2" max="2" width="12.140625" style="25" customWidth="1"/>
    <col min="3" max="3" width="10.85546875" style="25" customWidth="1"/>
    <col min="4" max="6" width="9.140625" style="25"/>
    <col min="7" max="7" width="23.42578125" style="25" customWidth="1"/>
    <col min="8" max="8" width="11.85546875" style="25" customWidth="1"/>
    <col min="9" max="9" width="12.28515625" style="25" customWidth="1"/>
    <col min="10" max="10" width="16.7109375" style="25" customWidth="1"/>
    <col min="11" max="16384" width="9.140625" style="25"/>
  </cols>
  <sheetData>
    <row r="1" spans="1:11" ht="15.75" x14ac:dyDescent="0.25">
      <c r="A1" s="53" t="s">
        <v>8</v>
      </c>
      <c r="B1" s="21" t="s">
        <v>117</v>
      </c>
      <c r="C1" s="23"/>
      <c r="D1" s="23"/>
      <c r="E1" s="23"/>
      <c r="F1" s="23"/>
      <c r="G1" s="24"/>
      <c r="H1" s="24"/>
      <c r="I1" s="24"/>
    </row>
    <row r="2" spans="1:11" ht="18.75" x14ac:dyDescent="0.25">
      <c r="A2" s="54"/>
      <c r="B2" s="55"/>
      <c r="C2" s="55"/>
      <c r="D2" s="50"/>
      <c r="E2" s="50"/>
      <c r="F2" s="50"/>
      <c r="G2" s="20"/>
      <c r="H2" s="23"/>
      <c r="I2" s="23"/>
      <c r="J2" s="20"/>
      <c r="K2" s="23"/>
    </row>
    <row r="3" spans="1:11" ht="15.75" x14ac:dyDescent="0.25">
      <c r="A3" s="56" t="s">
        <v>20</v>
      </c>
      <c r="B3" s="26" t="s">
        <v>3</v>
      </c>
      <c r="C3" s="50"/>
      <c r="D3" s="50"/>
      <c r="E3" s="50"/>
      <c r="F3" s="50"/>
      <c r="G3" s="20"/>
      <c r="H3" s="49" t="s">
        <v>100</v>
      </c>
      <c r="I3" s="49" t="s">
        <v>101</v>
      </c>
      <c r="J3" s="23"/>
    </row>
    <row r="4" spans="1:11" ht="15.75" x14ac:dyDescent="0.25">
      <c r="A4" s="56"/>
      <c r="B4" s="50"/>
      <c r="C4" s="50"/>
      <c r="D4" s="50"/>
      <c r="E4" s="50"/>
      <c r="F4" s="50"/>
      <c r="G4" s="23"/>
      <c r="H4" s="49" t="s">
        <v>107</v>
      </c>
      <c r="I4" s="49" t="s">
        <v>107</v>
      </c>
      <c r="J4" s="20"/>
    </row>
    <row r="5" spans="1:11" ht="15.75" x14ac:dyDescent="0.25">
      <c r="A5" s="56" t="s">
        <v>5</v>
      </c>
      <c r="B5" s="27" t="s">
        <v>7</v>
      </c>
      <c r="C5" s="27"/>
      <c r="D5" s="27"/>
      <c r="E5" s="27"/>
      <c r="F5" s="27"/>
      <c r="G5" s="49" t="s">
        <v>18</v>
      </c>
      <c r="H5" s="22">
        <v>0.125</v>
      </c>
      <c r="I5" s="20"/>
      <c r="J5" s="20"/>
    </row>
    <row r="6" spans="1:11" ht="15.75" x14ac:dyDescent="0.25">
      <c r="A6" s="56"/>
      <c r="B6" s="27"/>
      <c r="C6" s="27"/>
      <c r="D6" s="27"/>
      <c r="E6" s="27"/>
      <c r="F6" s="27"/>
      <c r="G6" s="49" t="s">
        <v>102</v>
      </c>
      <c r="H6" s="22">
        <v>5.24</v>
      </c>
      <c r="I6" s="20"/>
      <c r="J6" s="20"/>
    </row>
    <row r="7" spans="1:11" ht="15.75" x14ac:dyDescent="0.25">
      <c r="A7" s="56" t="s">
        <v>21</v>
      </c>
      <c r="B7" s="27" t="s">
        <v>15</v>
      </c>
      <c r="C7" s="27"/>
      <c r="D7" s="27"/>
      <c r="E7" s="27"/>
      <c r="F7" s="27"/>
      <c r="G7" s="49" t="s">
        <v>103</v>
      </c>
      <c r="H7" s="22">
        <v>0.13100000000000001</v>
      </c>
      <c r="I7" s="20"/>
      <c r="J7" s="20"/>
    </row>
    <row r="8" spans="1:11" ht="15.75" x14ac:dyDescent="0.25">
      <c r="A8" s="56"/>
      <c r="B8" s="27"/>
      <c r="C8" s="27"/>
      <c r="D8" s="27"/>
      <c r="E8" s="27"/>
      <c r="F8" s="27"/>
      <c r="G8" s="49" t="s">
        <v>104</v>
      </c>
      <c r="H8" s="22">
        <v>6.16</v>
      </c>
      <c r="I8" s="20"/>
      <c r="J8" s="20"/>
    </row>
    <row r="9" spans="1:11" ht="15.75" x14ac:dyDescent="0.25">
      <c r="A9" s="56" t="s">
        <v>13</v>
      </c>
      <c r="B9" s="27" t="s">
        <v>9</v>
      </c>
      <c r="C9" s="27"/>
      <c r="D9" s="27"/>
      <c r="E9" s="27"/>
      <c r="F9" s="27"/>
      <c r="G9" s="49" t="s">
        <v>105</v>
      </c>
      <c r="H9" s="22">
        <v>0.27600000000000002</v>
      </c>
      <c r="I9" s="20"/>
      <c r="J9" s="20"/>
    </row>
    <row r="10" spans="1:11" ht="15.75" x14ac:dyDescent="0.25">
      <c r="A10" s="56"/>
      <c r="B10" s="27"/>
      <c r="C10" s="27"/>
      <c r="D10" s="27"/>
      <c r="E10" s="27"/>
      <c r="F10" s="27"/>
      <c r="G10" s="49" t="s">
        <v>118</v>
      </c>
      <c r="H10" s="22">
        <v>0.125</v>
      </c>
      <c r="I10" s="20"/>
      <c r="J10" s="20"/>
    </row>
    <row r="11" spans="1:11" ht="15.75" x14ac:dyDescent="0.25">
      <c r="A11" s="56" t="s">
        <v>33</v>
      </c>
      <c r="B11" s="27" t="s">
        <v>35</v>
      </c>
      <c r="C11" s="27"/>
      <c r="D11" s="27"/>
      <c r="E11" s="27"/>
      <c r="F11" s="27"/>
      <c r="G11" s="20"/>
      <c r="H11" s="20"/>
      <c r="I11" s="20"/>
      <c r="J11" s="20"/>
    </row>
    <row r="12" spans="1:11" ht="15.75" x14ac:dyDescent="0.25">
      <c r="A12" s="56"/>
      <c r="B12" s="27"/>
      <c r="C12" s="27"/>
      <c r="D12" s="27"/>
      <c r="E12" s="27"/>
      <c r="F12" s="27"/>
      <c r="G12" s="20"/>
      <c r="H12" s="20"/>
      <c r="I12" s="20"/>
      <c r="J12" s="20"/>
    </row>
    <row r="13" spans="1:11" ht="15.75" x14ac:dyDescent="0.25">
      <c r="A13" s="56" t="s">
        <v>263</v>
      </c>
      <c r="B13" s="27" t="s">
        <v>89</v>
      </c>
      <c r="C13" s="27"/>
      <c r="D13" s="27"/>
      <c r="E13" s="27"/>
      <c r="F13" s="27"/>
      <c r="G13" s="20"/>
      <c r="H13" s="120" t="s">
        <v>100</v>
      </c>
      <c r="I13" s="120"/>
      <c r="J13" s="49" t="s">
        <v>132</v>
      </c>
    </row>
    <row r="14" spans="1:11" ht="15.75" x14ac:dyDescent="0.25">
      <c r="A14" s="56"/>
      <c r="B14" s="27"/>
      <c r="C14" s="27"/>
      <c r="D14" s="27"/>
      <c r="E14" s="27"/>
      <c r="F14" s="27"/>
      <c r="G14" s="49" t="s">
        <v>19</v>
      </c>
      <c r="H14" s="49" t="s">
        <v>106</v>
      </c>
      <c r="I14" s="49" t="s">
        <v>107</v>
      </c>
      <c r="J14" s="49" t="s">
        <v>107</v>
      </c>
    </row>
    <row r="15" spans="1:11" ht="15.75" x14ac:dyDescent="0.25">
      <c r="A15" s="56" t="s">
        <v>126</v>
      </c>
      <c r="B15" s="27" t="s">
        <v>128</v>
      </c>
      <c r="C15" s="27"/>
      <c r="D15" s="27"/>
      <c r="E15" s="27"/>
      <c r="F15" s="27"/>
      <c r="G15" s="49" t="s">
        <v>0</v>
      </c>
      <c r="H15" s="41">
        <v>15.9</v>
      </c>
      <c r="I15" s="22">
        <f t="shared" ref="I15:I16" si="0">H15/8</f>
        <v>1.9875</v>
      </c>
      <c r="J15" s="20"/>
    </row>
    <row r="16" spans="1:11" ht="15.75" x14ac:dyDescent="0.25">
      <c r="A16" s="57"/>
      <c r="G16" s="23" t="s">
        <v>269</v>
      </c>
      <c r="H16" s="20">
        <v>27.85</v>
      </c>
      <c r="I16" s="22">
        <f t="shared" si="0"/>
        <v>3.4812500000000002</v>
      </c>
      <c r="J16" s="20"/>
    </row>
    <row r="17" spans="1:10" ht="15.75" x14ac:dyDescent="0.25">
      <c r="A17" s="53" t="s">
        <v>115</v>
      </c>
      <c r="B17" s="20" t="s">
        <v>116</v>
      </c>
      <c r="G17" s="49" t="s">
        <v>1</v>
      </c>
      <c r="H17" s="41">
        <v>30.88</v>
      </c>
      <c r="I17" s="22">
        <f>H17/8</f>
        <v>3.86</v>
      </c>
      <c r="J17" s="20"/>
    </row>
    <row r="18" spans="1:10" ht="15.75" x14ac:dyDescent="0.25">
      <c r="A18" s="57"/>
      <c r="G18" s="49" t="s">
        <v>2</v>
      </c>
      <c r="H18" s="42">
        <v>46.7</v>
      </c>
      <c r="I18" s="22">
        <f>H18/8</f>
        <v>5.8375000000000004</v>
      </c>
      <c r="J18" s="20"/>
    </row>
    <row r="19" spans="1:10" ht="15.75" x14ac:dyDescent="0.25">
      <c r="A19" s="53" t="s">
        <v>185</v>
      </c>
      <c r="B19" s="20" t="s">
        <v>111</v>
      </c>
      <c r="G19" s="49" t="s">
        <v>3</v>
      </c>
      <c r="H19" s="42">
        <v>105.89</v>
      </c>
      <c r="I19" s="22">
        <f>H19/8</f>
        <v>13.23625</v>
      </c>
    </row>
    <row r="20" spans="1:10" x14ac:dyDescent="0.25">
      <c r="G20" s="49" t="s">
        <v>133</v>
      </c>
      <c r="H20" s="22">
        <v>137.13999999999999</v>
      </c>
      <c r="I20" s="22">
        <f>H20/8</f>
        <v>17.142499999999998</v>
      </c>
    </row>
    <row r="21" spans="1:10" ht="15.75" x14ac:dyDescent="0.25">
      <c r="A21" s="88" t="s">
        <v>260</v>
      </c>
      <c r="B21" s="92" t="s">
        <v>256</v>
      </c>
    </row>
    <row r="24" spans="1:10" x14ac:dyDescent="0.25">
      <c r="G24" s="40"/>
      <c r="H24" s="40"/>
      <c r="I24" s="40"/>
    </row>
    <row r="25" spans="1:10" x14ac:dyDescent="0.25">
      <c r="G25" s="40"/>
      <c r="I25" s="40"/>
    </row>
    <row r="26" spans="1:10" x14ac:dyDescent="0.25">
      <c r="G26" s="40"/>
      <c r="I26" s="40"/>
    </row>
    <row r="27" spans="1:10" x14ac:dyDescent="0.25">
      <c r="G27" s="40"/>
      <c r="I27" s="40"/>
    </row>
    <row r="28" spans="1:10" x14ac:dyDescent="0.25">
      <c r="G28" s="40"/>
      <c r="I28" s="40"/>
    </row>
    <row r="29" spans="1:10" x14ac:dyDescent="0.25">
      <c r="G29" s="40"/>
      <c r="H29" s="40"/>
      <c r="I29" s="40"/>
    </row>
    <row r="30" spans="1:10" x14ac:dyDescent="0.25">
      <c r="G30" s="40"/>
      <c r="H30" s="40"/>
      <c r="I30" s="40"/>
    </row>
  </sheetData>
  <sheetProtection password="EAA2" sheet="1" objects="1" scenarios="1"/>
  <mergeCells count="1">
    <mergeCell ref="H13:I13"/>
  </mergeCells>
  <conditionalFormatting sqref="A11:B11">
    <cfRule type="expression" dxfId="5" priority="7">
      <formula>"if(UserInput!$B$5!=""NAND"") then"</formula>
    </cfRule>
    <cfRule type="expression" dxfId="4" priority="8">
      <formula>"if (!(UserInput!$B$5 = ""NAND"")) then"</formula>
    </cfRule>
  </conditionalFormatting>
  <conditionalFormatting sqref="A21:B21">
    <cfRule type="expression" dxfId="3" priority="4">
      <formula>B5 = "NAND"</formula>
    </cfRule>
    <cfRule type="expression" dxfId="2" priority="5">
      <formula>"$B$5 &lt;&gt; ""NAND"""</formula>
    </cfRule>
    <cfRule type="expression" dxfId="1" priority="6">
      <formula>"if ($B$5 = ""NAND"") then "</formula>
    </cfRule>
  </conditionalFormatting>
  <conditionalFormatting sqref="B21">
    <cfRule type="expression" dxfId="0" priority="3">
      <formula>B5 = "NAND"</formula>
    </cfRule>
  </conditionalFormatting>
  <dataValidations count="13">
    <dataValidation type="list" allowBlank="1" showInputMessage="1" showErrorMessage="1" sqref="B11">
      <formula1>INDIRECT($B5)</formula1>
    </dataValidation>
    <dataValidation type="list" allowBlank="1" showInputMessage="1" showErrorMessage="1" sqref="B12">
      <formula1>NAND_Config</formula1>
    </dataValidation>
    <dataValidation type="list" allowBlank="1" showInputMessage="1" showErrorMessage="1" sqref="B9">
      <formula1>OS</formula1>
    </dataValidation>
    <dataValidation type="list" allowBlank="1" showInputMessage="1" showErrorMessage="1" sqref="B7">
      <formula1>Vendors</formula1>
    </dataValidation>
    <dataValidation type="list" allowBlank="1" showInputMessage="1" showErrorMessage="1" errorTitle="Boot Device" error="Enter valid boot device: _x000a_NAND Or QSPI Or NOR Or SD Card Or JTAG" sqref="A4">
      <formula1>Boot_Device</formula1>
    </dataValidation>
    <dataValidation type="list" allowBlank="1" showErrorMessage="1" errorTitle="Boot Type" error="Enter either Secure OR Non-Secure" sqref="B1">
      <formula1>Boot_type</formula1>
    </dataValidation>
    <dataValidation type="list" allowBlank="1" showInputMessage="1" showErrorMessage="1" sqref="B5">
      <formula1>Boot_Device</formula1>
    </dataValidation>
    <dataValidation type="list" allowBlank="1" showInputMessage="1" showErrorMessage="1" sqref="B13">
      <formula1>BootROM</formula1>
    </dataValidation>
    <dataValidation type="list" allowBlank="1" showInputMessage="1" showErrorMessage="1" sqref="B17">
      <formula1>INDIRECT($B1)</formula1>
    </dataValidation>
    <dataValidation type="list" allowBlank="1" showInputMessage="1" showErrorMessage="1" sqref="B15">
      <formula1>voltage</formula1>
    </dataValidation>
    <dataValidation type="list" allowBlank="1" showInputMessage="1" showErrorMessage="1" sqref="B3">
      <formula1>zynq_devices</formula1>
    </dataValidation>
    <dataValidation type="list" allowBlank="1" showInputMessage="1" showErrorMessage="1" sqref="B19">
      <formula1>CRC_Enabled</formula1>
    </dataValidation>
    <dataValidation type="list" allowBlank="1" showInputMessage="1" showErrorMessage="1" sqref="B21">
      <formula1>QSPI_type</formula1>
    </dataValidation>
  </dataValidations>
  <pageMargins left="0.7" right="0.7" top="0.75" bottom="0.75" header="0.3" footer="0.3"/>
  <pageSetup orientation="portrait" r:id="rId1"/>
  <headerFooter>
    <oddFooter>&amp;C&amp;"arial,Regular"&amp;10&amp;KE36C0AXILINX INTERNAL</oddFooter>
    <evenFooter>&amp;C&amp;"arial,Regular"&amp;10&amp;KE36C0AXILINX INTERNAL</evenFooter>
    <firstFooter>&amp;C&amp;"arial,Regular"&amp;10&amp;KE36C0AXILINX INTERNAL</first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51" r:id="rId4" name="Button 27">
              <controlPr defaultSize="0" print="0" autoFill="0" autoPict="0" macro="[0]!boot_time_calc">
                <anchor moveWithCells="1">
                  <from>
                    <xdr:col>7</xdr:col>
                    <xdr:colOff>0</xdr:colOff>
                    <xdr:row>25</xdr:row>
                    <xdr:rowOff>76200</xdr:rowOff>
                  </from>
                  <to>
                    <xdr:col>7</xdr:col>
                    <xdr:colOff>781050</xdr:colOff>
                    <xdr:row>27</xdr:row>
                    <xdr:rowOff>19050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C16"/>
  <sheetViews>
    <sheetView workbookViewId="0">
      <selection activeCell="F11" sqref="F11"/>
    </sheetView>
  </sheetViews>
  <sheetFormatPr defaultRowHeight="15" x14ac:dyDescent="0.25"/>
  <cols>
    <col min="1" max="1" width="52.42578125" customWidth="1"/>
    <col min="2" max="2" width="15.140625" customWidth="1"/>
    <col min="3" max="3" width="27.85546875" customWidth="1"/>
    <col min="4" max="4" width="13.140625" customWidth="1"/>
    <col min="5" max="5" width="12.42578125" customWidth="1"/>
    <col min="6" max="6" width="13.28515625" customWidth="1"/>
  </cols>
  <sheetData>
    <row r="1" spans="1:3" ht="18.75" x14ac:dyDescent="0.25">
      <c r="A1" s="59" t="s">
        <v>281</v>
      </c>
      <c r="B1" s="45"/>
      <c r="C1" s="45"/>
    </row>
    <row r="2" spans="1:3" ht="15.75" x14ac:dyDescent="0.25">
      <c r="A2" s="90" t="s">
        <v>282</v>
      </c>
      <c r="B2" s="90" t="s">
        <v>271</v>
      </c>
      <c r="C2" s="90" t="s">
        <v>272</v>
      </c>
    </row>
    <row r="3" spans="1:3" x14ac:dyDescent="0.25">
      <c r="A3" s="2"/>
      <c r="B3" s="2"/>
      <c r="C3" s="2"/>
    </row>
    <row r="4" spans="1:3" ht="15.75" x14ac:dyDescent="0.25">
      <c r="A4" s="90" t="s">
        <v>273</v>
      </c>
      <c r="B4" s="2"/>
      <c r="C4" s="2">
        <v>98.4</v>
      </c>
    </row>
    <row r="5" spans="1:3" ht="15.75" x14ac:dyDescent="0.25">
      <c r="A5" s="90"/>
      <c r="B5" s="2"/>
      <c r="C5" s="2"/>
    </row>
    <row r="6" spans="1:3" ht="15.75" x14ac:dyDescent="0.25">
      <c r="A6" s="90" t="s">
        <v>283</v>
      </c>
      <c r="B6" s="2">
        <v>3.86</v>
      </c>
      <c r="C6" s="2">
        <v>142.54062038404726</v>
      </c>
    </row>
    <row r="7" spans="1:3" ht="15.75" x14ac:dyDescent="0.25">
      <c r="A7" s="90"/>
      <c r="B7" s="2"/>
      <c r="C7" s="2"/>
    </row>
    <row r="8" spans="1:3" ht="15.75" x14ac:dyDescent="0.25">
      <c r="A8" s="90" t="s">
        <v>284</v>
      </c>
      <c r="B8" s="2">
        <v>0.27600000000000002</v>
      </c>
      <c r="C8" s="2">
        <v>8.0443019527834458</v>
      </c>
    </row>
    <row r="9" spans="1:3" ht="15.75" x14ac:dyDescent="0.25">
      <c r="A9" s="90"/>
      <c r="B9" s="2"/>
      <c r="C9" s="2"/>
    </row>
    <row r="10" spans="1:3" ht="15.75" x14ac:dyDescent="0.25">
      <c r="A10" s="90" t="s">
        <v>285</v>
      </c>
      <c r="B10" s="2">
        <v>11.531000000000001</v>
      </c>
      <c r="C10" s="2">
        <v>911</v>
      </c>
    </row>
    <row r="11" spans="1:3" ht="15.75" x14ac:dyDescent="0.25">
      <c r="A11" s="90"/>
      <c r="B11" s="2"/>
      <c r="C11" s="2"/>
    </row>
    <row r="12" spans="1:3" ht="15.75" x14ac:dyDescent="0.25">
      <c r="A12" s="90" t="s">
        <v>274</v>
      </c>
      <c r="B12" s="2">
        <v>15.391</v>
      </c>
      <c r="C12" s="2">
        <v>1159.9849223368308</v>
      </c>
    </row>
    <row r="13" spans="1:3" ht="15.75" x14ac:dyDescent="0.25">
      <c r="A13" s="90"/>
      <c r="B13" s="2"/>
      <c r="C13" s="2"/>
    </row>
    <row r="14" spans="1:3" ht="15.75" x14ac:dyDescent="0.25">
      <c r="A14" s="90"/>
      <c r="B14" s="2"/>
      <c r="C14" s="2"/>
    </row>
    <row r="16" spans="1:3" x14ac:dyDescent="0.25">
      <c r="A16" t="s">
        <v>275</v>
      </c>
    </row>
  </sheetData>
  <pageMargins left="0.7" right="0.7" top="0.75" bottom="0.75" header="0.3" footer="0.3"/>
  <pageSetup orientation="portrait" r:id="rId1"/>
  <headerFooter>
    <oddFooter>&amp;C&amp;"arial,Regular"&amp;10&amp;KE36C0AXILINX INTERNAL</oddFooter>
    <evenFooter>&amp;C&amp;"arial,Regular"&amp;10&amp;KE36C0AXILINX INTERNAL</evenFooter>
    <firstFooter>&amp;C&amp;"arial,Regular"&amp;10&amp;KE36C0AXILINX INTERNAL</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09FDA83EFE7A3A4DB16E1D3F8F928D61" ma:contentTypeVersion="2" ma:contentTypeDescription="Create a new document." ma:contentTypeScope="" ma:versionID="53ef6a52671913eb3b5fbbe46e1c4631">
  <xsd:schema xmlns:xsd="http://www.w3.org/2001/XMLSchema" xmlns:xs="http://www.w3.org/2001/XMLSchema" xmlns:p="http://schemas.microsoft.com/office/2006/metadata/properties" xmlns:ns2="b0b461d9-1748-4ea3-b590-adcaa3b7efff" targetNamespace="http://schemas.microsoft.com/office/2006/metadata/properties" ma:root="true" ma:fieldsID="f810382e73cbaedfe068f2c5875fb8a3" ns2:_="">
    <xsd:import namespace="b0b461d9-1748-4ea3-b590-adcaa3b7efff"/>
    <xsd:element name="properties">
      <xsd:complexType>
        <xsd:sequence>
          <xsd:element name="documentManagement">
            <xsd:complexType>
              <xsd:all>
                <xsd:element ref="ns2:ArticleNumber"/>
                <xsd:element ref="ns2:AssociatedArticles"/>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0b461d9-1748-4ea3-b590-adcaa3b7efff" elementFormDefault="qualified">
    <xsd:import namespace="http://schemas.microsoft.com/office/2006/documentManagement/types"/>
    <xsd:import namespace="http://schemas.microsoft.com/office/infopath/2007/PartnerControls"/>
    <xsd:element name="ArticleNumber" ma:index="8" ma:displayName="Article Number" ma:decimals="0" ma:indexed="true" ma:internalName="ArticleNumber" ma:percentage="FALSE">
      <xsd:simpleType>
        <xsd:restriction base="dms:Number">
          <xsd:minInclusive value="0"/>
        </xsd:restriction>
      </xsd:simpleType>
    </xsd:element>
    <xsd:element name="AssociatedArticles" ma:index="9" ma:displayName="Associated Articles" ma:internalName="AssociatedArticles">
      <xsd:simpleType>
        <xsd:restriction base="dms:Text">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AssociatedArticles xmlns="b0b461d9-1748-4ea3-b590-adcaa3b7efff">55572</AssociatedArticles>
    <ArticleNumber xmlns="b0b461d9-1748-4ea3-b590-adcaa3b7efff"/>
  </documentManagement>
</p:properties>
</file>

<file path=customXml/itemProps1.xml><?xml version="1.0" encoding="utf-8"?>
<ds:datastoreItem xmlns:ds="http://schemas.openxmlformats.org/officeDocument/2006/customXml" ds:itemID="{92253358-268E-4CFF-9FB2-B54C7314E652}"/>
</file>

<file path=customXml/itemProps2.xml><?xml version="1.0" encoding="utf-8"?>
<ds:datastoreItem xmlns:ds="http://schemas.openxmlformats.org/officeDocument/2006/customXml" ds:itemID="{02A5F962-3901-4C56-B645-D1646370FE07}"/>
</file>

<file path=customXml/itemProps3.xml><?xml version="1.0" encoding="utf-8"?>
<ds:datastoreItem xmlns:ds="http://schemas.openxmlformats.org/officeDocument/2006/customXml" ds:itemID="{4ACCB085-2BF9-46CB-857A-0F0A970B0C4D}"/>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14</vt:i4>
      </vt:variant>
    </vt:vector>
  </HeadingPairs>
  <TitlesOfParts>
    <vt:vector size="26" baseType="lpstr">
      <vt:lpstr>Lists</vt:lpstr>
      <vt:lpstr>Revision</vt:lpstr>
      <vt:lpstr>README</vt:lpstr>
      <vt:lpstr>Usage Information</vt:lpstr>
      <vt:lpstr>Detailed Information</vt:lpstr>
      <vt:lpstr>BootROM</vt:lpstr>
      <vt:lpstr>NAND</vt:lpstr>
      <vt:lpstr>NAND_secure</vt:lpstr>
      <vt:lpstr>QSPI</vt:lpstr>
      <vt:lpstr>QSPI_secure</vt:lpstr>
      <vt:lpstr>UserInput</vt:lpstr>
      <vt:lpstr>Results</vt:lpstr>
      <vt:lpstr>Boot_Device</vt:lpstr>
      <vt:lpstr>Boot_type</vt:lpstr>
      <vt:lpstr>BootROM</vt:lpstr>
      <vt:lpstr>CRC_Enabled</vt:lpstr>
      <vt:lpstr>NAND</vt:lpstr>
      <vt:lpstr>NonSecure</vt:lpstr>
      <vt:lpstr>OS</vt:lpstr>
      <vt:lpstr>pl_power</vt:lpstr>
      <vt:lpstr>QSPI</vt:lpstr>
      <vt:lpstr>QSPI_type</vt:lpstr>
      <vt:lpstr>Secure</vt:lpstr>
      <vt:lpstr>Vendors</vt:lpstr>
      <vt:lpstr>voltage</vt:lpstr>
      <vt:lpstr>zynq_devices</vt:lpstr>
    </vt:vector>
  </TitlesOfParts>
  <Company>Xilinx Inc,</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Forrrest Pickett</dc:creator>
  <cp:keywords>Internal, None, None</cp:keywords>
  <cp:lastModifiedBy>admin</cp:lastModifiedBy>
  <dcterms:created xsi:type="dcterms:W3CDTF">2011-06-29T21:13:07Z</dcterms:created>
  <dcterms:modified xsi:type="dcterms:W3CDTF">2017-08-01T22:22:42Z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abe6f052-f855-4538-bb7e-3899a7a760b5</vt:lpwstr>
  </property>
  <property fmtid="{D5CDD505-2E9C-101B-9397-08002B2CF9AE}" pid="3" name="TITUSCustom1">
    <vt:lpwstr>1</vt:lpwstr>
  </property>
  <property fmtid="{D5CDD505-2E9C-101B-9397-08002B2CF9AE}" pid="4" name="XilinxClassification">
    <vt:lpwstr>Internal</vt:lpwstr>
  </property>
  <property fmtid="{D5CDD505-2E9C-101B-9397-08002B2CF9AE}" pid="5" name="XilinxVisual Markings">
    <vt:lpwstr>Yes</vt:lpwstr>
  </property>
  <property fmtid="{D5CDD505-2E9C-101B-9397-08002B2CF9AE}" pid="6" name="XilinxAdditional Classifications">
    <vt:lpwstr>None</vt:lpwstr>
  </property>
  <property fmtid="{D5CDD505-2E9C-101B-9397-08002B2CF9AE}" pid="7" name="XilinxExport Control">
    <vt:lpwstr>None</vt:lpwstr>
  </property>
  <property fmtid="{D5CDD505-2E9C-101B-9397-08002B2CF9AE}" pid="8" name="XilinxNote">
    <vt:lpwstr/>
  </property>
  <property fmtid="{D5CDD505-2E9C-101B-9397-08002B2CF9AE}" pid="9" name="XilinxRemoveLegacyFooters">
    <vt:lpwstr>Yes</vt:lpwstr>
  </property>
  <property fmtid="{D5CDD505-2E9C-101B-9397-08002B2CF9AE}" pid="10" name="ContentTypeId">
    <vt:lpwstr>0x01010009FDA83EFE7A3A4DB16E1D3F8F928D61</vt:lpwstr>
  </property>
</Properties>
</file>